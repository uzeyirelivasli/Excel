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D7318A88-8B40-4235-B1A3-DB5F7C276E0F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Final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7" l="1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10" i="7" l="1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10" i="7" l="1"/>
  <c r="N10" i="7"/>
  <c r="O4" i="7"/>
  <c r="N4" i="7"/>
</calcChain>
</file>

<file path=xl/sharedStrings.xml><?xml version="1.0" encoding="utf-8"?>
<sst xmlns="http://schemas.openxmlformats.org/spreadsheetml/2006/main" count="33" uniqueCount="32">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</sst>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14" xfId="0" applyFont="1" applyBorder="1" applyAlignment="1">
      <alignment horizontal="center" wrapText="1"/>
    </xf>
    <xf numFmtId="0" fontId="2" fillId="0" borderId="14" xfId="0" applyFont="1" applyBorder="1"/>
    <xf numFmtId="164" fontId="2" fillId="0" borderId="14" xfId="1" applyNumberFormat="1" applyFont="1" applyBorder="1" applyAlignment="1"/>
    <xf numFmtId="0" fontId="2" fillId="0" borderId="14" xfId="1" applyNumberFormat="1" applyFont="1" applyBorder="1" applyAlignment="1"/>
    <xf numFmtId="0" fontId="3" fillId="0" borderId="15" xfId="0" applyFont="1" applyBorder="1" applyAlignment="1">
      <alignment horizontal="center" wrapText="1"/>
    </xf>
    <xf numFmtId="0" fontId="2" fillId="0" borderId="15" xfId="0" applyFont="1" applyBorder="1"/>
    <xf numFmtId="0" fontId="3" fillId="0" borderId="16" xfId="0" applyFont="1" applyBorder="1" applyAlignment="1">
      <alignment horizontal="center" wrapText="1"/>
    </xf>
    <xf numFmtId="0" fontId="2" fillId="0" borderId="17" xfId="0" applyFont="1" applyBorder="1"/>
    <xf numFmtId="0" fontId="3" fillId="0" borderId="18" xfId="0" applyFont="1" applyBorder="1"/>
    <xf numFmtId="0" fontId="2" fillId="0" borderId="19" xfId="0" applyFont="1" applyBorder="1"/>
    <xf numFmtId="0" fontId="3" fillId="0" borderId="10" xfId="0" applyFont="1" applyBorder="1"/>
    <xf numFmtId="0" fontId="2" fillId="0" borderId="12" xfId="0" applyFont="1" applyBorder="1"/>
    <xf numFmtId="0" fontId="3" fillId="0" borderId="5" xfId="0" applyFont="1" applyBorder="1"/>
    <xf numFmtId="0" fontId="2" fillId="3" borderId="6" xfId="0" applyFont="1" applyFill="1" applyBorder="1"/>
    <xf numFmtId="0" fontId="2" fillId="0" borderId="8" xfId="0" applyFont="1" applyBorder="1"/>
    <xf numFmtId="0" fontId="2" fillId="3" borderId="9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abSelected="1"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7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4" t="s">
        <v>15</v>
      </c>
      <c r="G2" s="26" t="s">
        <v>14</v>
      </c>
      <c r="H2" s="20" t="s">
        <v>16</v>
      </c>
      <c r="I2" s="20" t="s">
        <v>17</v>
      </c>
      <c r="J2" s="20" t="s">
        <v>19</v>
      </c>
      <c r="K2" s="20" t="s">
        <v>18</v>
      </c>
      <c r="L2" s="20" t="s">
        <v>21</v>
      </c>
      <c r="M2" s="20" t="s">
        <v>20</v>
      </c>
      <c r="N2" s="20" t="s">
        <v>25</v>
      </c>
      <c r="O2" s="20" t="s">
        <v>29</v>
      </c>
      <c r="P2" s="20" t="s">
        <v>26</v>
      </c>
      <c r="R2" s="13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5">
        <f>C3</f>
        <v>5</v>
      </c>
      <c r="G3" s="21">
        <f>D3+E3</f>
        <v>130000</v>
      </c>
      <c r="H3" s="22">
        <f>E3/D3</f>
        <v>8.3333333333333329E-2</v>
      </c>
      <c r="I3" s="23">
        <f>D3+D3*H3</f>
        <v>130000</v>
      </c>
      <c r="J3" s="21" t="b">
        <f>G3=I3</f>
        <v>1</v>
      </c>
      <c r="K3" s="21" t="b">
        <f>E3&gt;D3</f>
        <v>0</v>
      </c>
      <c r="L3" s="21" t="b">
        <f t="shared" ref="L3:L12" si="0">$S$3&lt;=C3</f>
        <v>1</v>
      </c>
      <c r="M3" s="21" t="b">
        <f t="shared" ref="M3:M12" si="1">$G3&gt;=$S$4</f>
        <v>1</v>
      </c>
      <c r="N3" s="21">
        <f>L3*M3</f>
        <v>1</v>
      </c>
      <c r="O3" s="21" t="b">
        <f>L3*M3=1</f>
        <v>1</v>
      </c>
      <c r="P3" s="21" t="b">
        <f>AND(L3,M3)</f>
        <v>1</v>
      </c>
      <c r="R3" s="9" t="s">
        <v>22</v>
      </c>
      <c r="S3" s="10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5">
        <f t="shared" ref="F4:F12" si="2">C4</f>
        <v>4</v>
      </c>
      <c r="G4" s="21">
        <f t="shared" ref="G4:G12" si="3">D4+E4</f>
        <v>147000</v>
      </c>
      <c r="H4" s="22">
        <f t="shared" ref="H4:H12" si="4">E4/D4</f>
        <v>8.8888888888888892E-2</v>
      </c>
      <c r="I4" s="23">
        <f t="shared" ref="I4:I12" si="5">D4+D4*H4</f>
        <v>147000</v>
      </c>
      <c r="J4" s="21" t="b">
        <f t="shared" ref="J4:J12" si="6">G4=I4</f>
        <v>1</v>
      </c>
      <c r="K4" s="21" t="b">
        <f t="shared" ref="K4:K12" si="7">E4&gt;D4</f>
        <v>0</v>
      </c>
      <c r="L4" s="21" t="b">
        <f t="shared" si="0"/>
        <v>0</v>
      </c>
      <c r="M4" s="21" t="b">
        <f t="shared" si="1"/>
        <v>1</v>
      </c>
      <c r="N4" s="21">
        <f t="shared" ref="N4:N12" si="8">L4*M4</f>
        <v>0</v>
      </c>
      <c r="O4" s="21" t="b">
        <f t="shared" ref="O4:O12" si="9">L4*M4=1</f>
        <v>0</v>
      </c>
      <c r="P4" s="21" t="b">
        <f t="shared" ref="P4:P12" si="10">AND(L4,M4)</f>
        <v>0</v>
      </c>
      <c r="R4" s="11" t="s">
        <v>23</v>
      </c>
      <c r="S4" s="12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5">
        <f t="shared" si="2"/>
        <v>2</v>
      </c>
      <c r="G5" s="21">
        <f t="shared" si="3"/>
        <v>80000</v>
      </c>
      <c r="H5" s="22">
        <f t="shared" si="4"/>
        <v>6.6666666666666666E-2</v>
      </c>
      <c r="I5" s="23">
        <f t="shared" si="5"/>
        <v>80000</v>
      </c>
      <c r="J5" s="21" t="b">
        <f t="shared" si="6"/>
        <v>1</v>
      </c>
      <c r="K5" s="21" t="b">
        <f t="shared" si="7"/>
        <v>0</v>
      </c>
      <c r="L5" s="21" t="b">
        <f t="shared" si="0"/>
        <v>0</v>
      </c>
      <c r="M5" s="21" t="b">
        <f t="shared" si="1"/>
        <v>0</v>
      </c>
      <c r="N5" s="21">
        <f t="shared" si="8"/>
        <v>0</v>
      </c>
      <c r="O5" s="21" t="b">
        <f t="shared" si="9"/>
        <v>0</v>
      </c>
      <c r="P5" s="21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5">
        <f t="shared" si="2"/>
        <v>6</v>
      </c>
      <c r="G6" s="21">
        <f t="shared" si="3"/>
        <v>118000</v>
      </c>
      <c r="H6" s="22">
        <f t="shared" si="4"/>
        <v>7.2727272727272724E-2</v>
      </c>
      <c r="I6" s="23">
        <f t="shared" si="5"/>
        <v>118000</v>
      </c>
      <c r="J6" s="21" t="b">
        <f t="shared" si="6"/>
        <v>1</v>
      </c>
      <c r="K6" s="21" t="b">
        <f t="shared" si="7"/>
        <v>0</v>
      </c>
      <c r="L6" s="21" t="b">
        <f t="shared" si="0"/>
        <v>1</v>
      </c>
      <c r="M6" s="21" t="b">
        <f t="shared" si="1"/>
        <v>1</v>
      </c>
      <c r="N6" s="21">
        <f t="shared" si="8"/>
        <v>1</v>
      </c>
      <c r="O6" s="21" t="b">
        <f t="shared" si="9"/>
        <v>1</v>
      </c>
      <c r="P6" s="21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5">
        <f t="shared" si="2"/>
        <v>3</v>
      </c>
      <c r="G7" s="21">
        <f t="shared" si="3"/>
        <v>136000</v>
      </c>
      <c r="H7" s="22">
        <f t="shared" si="4"/>
        <v>8.7999999999999995E-2</v>
      </c>
      <c r="I7" s="23">
        <f t="shared" si="5"/>
        <v>136000</v>
      </c>
      <c r="J7" s="21" t="b">
        <f t="shared" si="6"/>
        <v>1</v>
      </c>
      <c r="K7" s="21" t="b">
        <f t="shared" si="7"/>
        <v>0</v>
      </c>
      <c r="L7" s="21" t="b">
        <f t="shared" si="0"/>
        <v>0</v>
      </c>
      <c r="M7" s="21" t="b">
        <f t="shared" si="1"/>
        <v>1</v>
      </c>
      <c r="N7" s="21">
        <f t="shared" si="8"/>
        <v>0</v>
      </c>
      <c r="O7" s="21" t="b">
        <f t="shared" si="9"/>
        <v>0</v>
      </c>
      <c r="P7" s="21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5">
        <f t="shared" si="2"/>
        <v>7</v>
      </c>
      <c r="G8" s="21">
        <f t="shared" si="3"/>
        <v>97000</v>
      </c>
      <c r="H8" s="22">
        <f t="shared" si="4"/>
        <v>7.7777777777777779E-2</v>
      </c>
      <c r="I8" s="23">
        <f t="shared" si="5"/>
        <v>97000</v>
      </c>
      <c r="J8" s="21" t="b">
        <f t="shared" si="6"/>
        <v>1</v>
      </c>
      <c r="K8" s="21" t="b">
        <f t="shared" si="7"/>
        <v>0</v>
      </c>
      <c r="L8" s="21" t="b">
        <f t="shared" si="0"/>
        <v>1</v>
      </c>
      <c r="M8" s="21" t="b">
        <f t="shared" si="1"/>
        <v>1</v>
      </c>
      <c r="N8" s="21">
        <f t="shared" si="8"/>
        <v>1</v>
      </c>
      <c r="O8" s="21" t="b">
        <f t="shared" si="9"/>
        <v>1</v>
      </c>
      <c r="P8" s="21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5">
        <f t="shared" si="2"/>
        <v>10</v>
      </c>
      <c r="G9" s="21">
        <f t="shared" si="3"/>
        <v>165000</v>
      </c>
      <c r="H9" s="22">
        <f t="shared" si="4"/>
        <v>0.1</v>
      </c>
      <c r="I9" s="23">
        <f t="shared" si="5"/>
        <v>165000</v>
      </c>
      <c r="J9" s="21" t="b">
        <f t="shared" si="6"/>
        <v>1</v>
      </c>
      <c r="K9" s="21" t="b">
        <f t="shared" si="7"/>
        <v>0</v>
      </c>
      <c r="L9" s="21" t="b">
        <f t="shared" si="0"/>
        <v>1</v>
      </c>
      <c r="M9" s="21" t="b">
        <f t="shared" si="1"/>
        <v>1</v>
      </c>
      <c r="N9" s="21">
        <f t="shared" si="8"/>
        <v>1</v>
      </c>
      <c r="O9" s="21" t="b">
        <f t="shared" si="9"/>
        <v>1</v>
      </c>
      <c r="P9" s="21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5">
        <f t="shared" si="2"/>
        <v>8</v>
      </c>
      <c r="G10" s="21">
        <f t="shared" si="3"/>
        <v>143000</v>
      </c>
      <c r="H10" s="22">
        <f t="shared" si="4"/>
        <v>0.1</v>
      </c>
      <c r="I10" s="23">
        <f t="shared" si="5"/>
        <v>143000</v>
      </c>
      <c r="J10" s="21" t="b">
        <f t="shared" si="6"/>
        <v>1</v>
      </c>
      <c r="K10" s="21" t="b">
        <f t="shared" si="7"/>
        <v>0</v>
      </c>
      <c r="L10" s="21" t="b">
        <f t="shared" si="0"/>
        <v>1</v>
      </c>
      <c r="M10" s="21" t="b">
        <f t="shared" si="1"/>
        <v>1</v>
      </c>
      <c r="N10" s="21">
        <f t="shared" si="8"/>
        <v>1</v>
      </c>
      <c r="O10" s="21" t="b">
        <f t="shared" si="9"/>
        <v>1</v>
      </c>
      <c r="P10" s="21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5">
        <f t="shared" si="2"/>
        <v>3</v>
      </c>
      <c r="G11" s="21">
        <f t="shared" si="3"/>
        <v>154000</v>
      </c>
      <c r="H11" s="22">
        <f t="shared" si="4"/>
        <v>0.1</v>
      </c>
      <c r="I11" s="23">
        <f t="shared" si="5"/>
        <v>154000</v>
      </c>
      <c r="J11" s="21" t="b">
        <f t="shared" si="6"/>
        <v>1</v>
      </c>
      <c r="K11" s="21" t="b">
        <f t="shared" si="7"/>
        <v>0</v>
      </c>
      <c r="L11" s="21" t="b">
        <f t="shared" si="0"/>
        <v>0</v>
      </c>
      <c r="M11" s="21" t="b">
        <f t="shared" si="1"/>
        <v>1</v>
      </c>
      <c r="N11" s="21">
        <f t="shared" si="8"/>
        <v>0</v>
      </c>
      <c r="O11" s="21" t="b">
        <f t="shared" si="9"/>
        <v>0</v>
      </c>
      <c r="P11" s="21" t="b">
        <f t="shared" si="10"/>
        <v>0</v>
      </c>
    </row>
    <row r="12" spans="2:19" ht="15" thickBot="1" x14ac:dyDescent="0.35">
      <c r="B12" s="14" t="s">
        <v>9</v>
      </c>
      <c r="C12" s="15">
        <v>5</v>
      </c>
      <c r="D12" s="15">
        <v>115000</v>
      </c>
      <c r="E12" s="16">
        <v>9000</v>
      </c>
      <c r="F12" s="25">
        <f t="shared" si="2"/>
        <v>5</v>
      </c>
      <c r="G12" s="21">
        <f t="shared" si="3"/>
        <v>124000</v>
      </c>
      <c r="H12" s="22">
        <f t="shared" si="4"/>
        <v>7.8260869565217397E-2</v>
      </c>
      <c r="I12" s="23">
        <f t="shared" si="5"/>
        <v>124000</v>
      </c>
      <c r="J12" s="21" t="b">
        <f t="shared" si="6"/>
        <v>1</v>
      </c>
      <c r="K12" s="21" t="b">
        <f t="shared" si="7"/>
        <v>0</v>
      </c>
      <c r="L12" s="21" t="b">
        <f t="shared" si="0"/>
        <v>1</v>
      </c>
      <c r="M12" s="21" t="b">
        <f t="shared" si="1"/>
        <v>1</v>
      </c>
      <c r="N12" s="21">
        <f t="shared" si="8"/>
        <v>1</v>
      </c>
      <c r="O12" s="21" t="b">
        <f t="shared" si="9"/>
        <v>1</v>
      </c>
      <c r="P12" s="21" t="b">
        <f t="shared" si="10"/>
        <v>1</v>
      </c>
    </row>
    <row r="13" spans="2:19" ht="15" thickTop="1" x14ac:dyDescent="0.3">
      <c r="B13" s="28" t="s">
        <v>27</v>
      </c>
      <c r="C13" s="18">
        <f>(C3+C4+C5+C6+C7+C8+C9+C10+C11+C12)/10</f>
        <v>5.3</v>
      </c>
      <c r="D13" s="18">
        <f t="shared" ref="D13:E13" si="11">(D3+D4+D5+D6+D7+D8+D9+D10+D11+D12)/10</f>
        <v>119000</v>
      </c>
      <c r="E13" s="29">
        <f t="shared" si="11"/>
        <v>10400</v>
      </c>
    </row>
    <row r="14" spans="2:19" ht="15" thickBot="1" x14ac:dyDescent="0.35">
      <c r="B14" s="30" t="s">
        <v>28</v>
      </c>
      <c r="C14" s="19">
        <f>AVERAGE(C3:C12)</f>
        <v>5.3</v>
      </c>
      <c r="D14" s="19">
        <f t="shared" ref="D14:F14" si="12">AVERAGE(D3:D12)</f>
        <v>119000</v>
      </c>
      <c r="E14" s="31">
        <f t="shared" si="12"/>
        <v>10400</v>
      </c>
      <c r="F14" s="1">
        <f t="shared" si="12"/>
        <v>5.3</v>
      </c>
    </row>
    <row r="15" spans="2:19" ht="15" thickTop="1" x14ac:dyDescent="0.3">
      <c r="B15" s="28" t="s">
        <v>30</v>
      </c>
      <c r="C15" s="18">
        <f>COUNT(C3:C12)</f>
        <v>10</v>
      </c>
      <c r="D15" s="18">
        <f t="shared" ref="D15:E15" si="13">COUNT(D3:D12)</f>
        <v>10</v>
      </c>
      <c r="E15" s="29">
        <f t="shared" si="13"/>
        <v>10</v>
      </c>
    </row>
    <row r="16" spans="2:19" x14ac:dyDescent="0.3">
      <c r="B16" s="32" t="s">
        <v>31</v>
      </c>
      <c r="C16" s="17">
        <f>COUNTIF($C$3:$C$12, "&lt;=5")</f>
        <v>6</v>
      </c>
      <c r="D16" s="17">
        <f>COUNTIF($D$3:$D$12, "&gt;=90000")</f>
        <v>9</v>
      </c>
      <c r="E16" s="33"/>
    </row>
    <row r="17" spans="2:5" ht="15" thickBot="1" x14ac:dyDescent="0.35">
      <c r="B17" s="11" t="s">
        <v>31</v>
      </c>
      <c r="C17" s="34">
        <f>COUNTIF($C$3:$C$12, "&lt;=" &amp; S3)</f>
        <v>6</v>
      </c>
      <c r="D17" s="34">
        <f>COUNTIF($D$3:$D$12, "&gt;=" &amp; S4)</f>
        <v>9</v>
      </c>
      <c r="E1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Uzeyir Elivasli</cp:lastModifiedBy>
  <dcterms:created xsi:type="dcterms:W3CDTF">2024-07-16T20:11:02Z</dcterms:created>
  <dcterms:modified xsi:type="dcterms:W3CDTF">2026-07-01T21:33:20Z</dcterms:modified>
</cp:coreProperties>
</file>