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5E5D7ED9-EF5B-467E-91C1-974A04BACE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e" sheetId="14" r:id="rId1"/>
    <sheet name="Time" sheetId="15" r:id="rId2"/>
  </sheets>
  <definedNames>
    <definedName name="_xlnm._FilterDatabase" localSheetId="1" hidden="1">Time!$A$1:$A$21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4" l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" i="15"/>
  <c r="G2" i="14" l="1"/>
  <c r="O4" i="14" l="1"/>
  <c r="O10" i="14"/>
  <c r="O16" i="14"/>
  <c r="O12" i="14"/>
  <c r="O7" i="14"/>
  <c r="O19" i="14"/>
  <c r="O14" i="14"/>
  <c r="O9" i="14"/>
  <c r="O21" i="14"/>
  <c r="O5" i="14"/>
  <c r="O11" i="14"/>
  <c r="O17" i="14"/>
  <c r="O6" i="14"/>
  <c r="O18" i="14"/>
  <c r="O13" i="14"/>
  <c r="O8" i="14"/>
  <c r="O20" i="14"/>
  <c r="O15" i="14"/>
  <c r="O2" i="14"/>
  <c r="O3" i="14"/>
  <c r="C3" i="15"/>
  <c r="D3" i="15"/>
  <c r="E3" i="15"/>
  <c r="C4" i="15"/>
  <c r="D4" i="15"/>
  <c r="E4" i="15"/>
  <c r="C5" i="15"/>
  <c r="D5" i="15"/>
  <c r="E5" i="15"/>
  <c r="C6" i="15"/>
  <c r="D6" i="15"/>
  <c r="E6" i="15"/>
  <c r="C7" i="15"/>
  <c r="D7" i="15"/>
  <c r="E7" i="15"/>
  <c r="C8" i="15"/>
  <c r="D8" i="15"/>
  <c r="E8" i="15"/>
  <c r="C9" i="15"/>
  <c r="D9" i="15"/>
  <c r="E9" i="15"/>
  <c r="C10" i="15"/>
  <c r="D10" i="15"/>
  <c r="E10" i="15"/>
  <c r="C11" i="15"/>
  <c r="D11" i="15"/>
  <c r="E11" i="15"/>
  <c r="C12" i="15"/>
  <c r="D12" i="15"/>
  <c r="E12" i="15"/>
  <c r="C13" i="15"/>
  <c r="D13" i="15"/>
  <c r="E13" i="15"/>
  <c r="C14" i="15"/>
  <c r="D14" i="15"/>
  <c r="E14" i="15"/>
  <c r="C15" i="15"/>
  <c r="D15" i="15"/>
  <c r="E15" i="15"/>
  <c r="C16" i="15"/>
  <c r="D16" i="15"/>
  <c r="E16" i="15"/>
  <c r="C17" i="15"/>
  <c r="D17" i="15"/>
  <c r="E17" i="15"/>
  <c r="C18" i="15"/>
  <c r="D18" i="15"/>
  <c r="E18" i="15"/>
  <c r="C19" i="15"/>
  <c r="D19" i="15"/>
  <c r="E19" i="15"/>
  <c r="C20" i="15"/>
  <c r="D20" i="15"/>
  <c r="E20" i="15"/>
  <c r="C21" i="15"/>
  <c r="D21" i="15"/>
  <c r="E21" i="15"/>
  <c r="E2" i="15"/>
  <c r="D2" i="15"/>
  <c r="C2" i="15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I13" i="14"/>
  <c r="H13" i="14"/>
  <c r="G13" i="14"/>
  <c r="I12" i="14"/>
  <c r="H12" i="14"/>
  <c r="G12" i="14"/>
  <c r="I11" i="14"/>
  <c r="H11" i="14"/>
  <c r="G11" i="14"/>
  <c r="I10" i="14"/>
  <c r="H10" i="14"/>
  <c r="G10" i="14"/>
  <c r="I9" i="14"/>
  <c r="H9" i="14"/>
  <c r="G9" i="14"/>
  <c r="I8" i="14"/>
  <c r="H8" i="14"/>
  <c r="G8" i="14"/>
  <c r="I7" i="14"/>
  <c r="H7" i="14"/>
  <c r="G7" i="14"/>
  <c r="I6" i="14"/>
  <c r="H6" i="14"/>
  <c r="G6" i="14"/>
  <c r="I5" i="14"/>
  <c r="H5" i="14"/>
  <c r="G5" i="14"/>
  <c r="I4" i="14"/>
  <c r="H4" i="14"/>
  <c r="G4" i="14"/>
  <c r="I3" i="14"/>
  <c r="H3" i="14"/>
  <c r="G3" i="14"/>
  <c r="I2" i="14"/>
  <c r="K2" i="14" s="1"/>
  <c r="H2" i="14"/>
  <c r="G2" i="15" l="1"/>
  <c r="K3" i="15"/>
  <c r="K4" i="15"/>
  <c r="K5" i="15"/>
  <c r="K6" i="15"/>
  <c r="K7" i="15"/>
  <c r="K8" i="15"/>
  <c r="K9" i="15"/>
  <c r="K10" i="15"/>
  <c r="K11" i="15"/>
  <c r="K12" i="15"/>
  <c r="K13" i="15"/>
  <c r="K14" i="15"/>
  <c r="K23" i="15"/>
  <c r="K15" i="15"/>
  <c r="K16" i="15"/>
  <c r="K17" i="15"/>
  <c r="K18" i="15"/>
  <c r="K19" i="15"/>
  <c r="K20" i="15"/>
  <c r="K22" i="15"/>
  <c r="K21" i="15"/>
  <c r="K24" i="15"/>
  <c r="K25" i="15"/>
  <c r="K26" i="15"/>
  <c r="K13" i="14"/>
  <c r="K5" i="14"/>
  <c r="K19" i="14"/>
  <c r="K8" i="14"/>
  <c r="K16" i="14"/>
  <c r="K14" i="14"/>
  <c r="K9" i="14"/>
  <c r="K17" i="14"/>
  <c r="K3" i="14"/>
  <c r="K4" i="14"/>
  <c r="K20" i="14"/>
  <c r="K7" i="14"/>
  <c r="K15" i="14"/>
  <c r="K11" i="14"/>
  <c r="K6" i="14"/>
  <c r="K10" i="14"/>
  <c r="K18" i="14"/>
  <c r="G18" i="15"/>
  <c r="G10" i="15"/>
  <c r="G15" i="15"/>
  <c r="G14" i="15"/>
  <c r="G6" i="15"/>
  <c r="G17" i="15"/>
  <c r="G19" i="15"/>
  <c r="G11" i="15"/>
  <c r="G3" i="15"/>
  <c r="G12" i="15"/>
  <c r="G9" i="15"/>
  <c r="G16" i="15"/>
  <c r="G8" i="15"/>
  <c r="G7" i="15"/>
  <c r="G20" i="15"/>
  <c r="G4" i="15"/>
  <c r="G21" i="15"/>
  <c r="G13" i="15"/>
  <c r="G5" i="15"/>
  <c r="K21" i="14"/>
  <c r="K12" i="14"/>
</calcChain>
</file>

<file path=xl/sharedStrings.xml><?xml version="1.0" encoding="utf-8"?>
<sst xmlns="http://schemas.openxmlformats.org/spreadsheetml/2006/main" count="100" uniqueCount="56">
  <si>
    <t>Email</t>
  </si>
  <si>
    <t>Skills List</t>
  </si>
  <si>
    <t>Azure, Java, SQL, DataBricks</t>
  </si>
  <si>
    <t>Snowflake, Power BI, Tableau, Airflow, SQL</t>
  </si>
  <si>
    <t>DataBricks, Hadoop, Java</t>
  </si>
  <si>
    <t>Kafka, DataBricks, Spark, Python, GCP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</si>
  <si>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</si>
  <si>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</si>
  <si>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</si>
  <si>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</si>
  <si>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</si>
  <si>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</si>
  <si>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</si>
  <si>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</si>
  <si>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</si>
  <si>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</si>
  <si>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</si>
  <si>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</si>
  <si>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</si>
  <si>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</si>
  <si>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</si>
  <si>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</si>
  <si>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</si>
  <si>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</si>
  <si>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</si>
  <si>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</si>
  <si>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</si>
  <si>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</si>
  <si>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</si>
  <si>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</si>
  <si>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</si>
  <si>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</si>
  <si>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michael.scott@gmail.com</t>
  </si>
  <si>
    <t>jim.halpert@hotmail.com</t>
  </si>
  <si>
    <t>pam.beesly@outlook.com</t>
  </si>
  <si>
    <t>dwight.schrute@gmail.com</t>
  </si>
  <si>
    <t>ryan.howard@aol.com</t>
  </si>
  <si>
    <t>kelly.kapoor@gmail.com</t>
  </si>
  <si>
    <t>stanley.hudson@gmail.com</t>
  </si>
  <si>
    <t>phyllis.vance@gmail.com</t>
  </si>
  <si>
    <t>angela.martin@ymail.com</t>
  </si>
  <si>
    <t>oscar.martinez@outlook.com</t>
  </si>
  <si>
    <t>kevin.malone@aol.com</t>
  </si>
  <si>
    <t>meredith.palmer@outlook.com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</si>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</sst>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0" xfId="0" applyNumberFormat="1"/>
    <xf numFmtId="14" fontId="1" fillId="2" borderId="2" xfId="0" applyNumberFormat="1" applyFont="1" applyFill="1" applyBorder="1"/>
    <xf numFmtId="164" fontId="0" fillId="0" borderId="1" xfId="0" applyNumberFormat="1" applyBorder="1"/>
    <xf numFmtId="164" fontId="0" fillId="0" borderId="5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Time!$K$2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Time!$J$3:$J$26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Time!$K$3:$K$26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123824</xdr:colOff>
      <xdr:row>3</xdr:row>
      <xdr:rowOff>4762</xdr:rowOff>
    </xdr:from>
    <xdr:to>
      <xdr:col>22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O21"/>
  <sheetViews>
    <sheetView tabSelected="1" workbookViewId="0">
      <selection activeCell="C1" sqref="A1:C1048576"/>
    </sheetView>
  </sheetViews>
  <sheetFormatPr defaultRowHeight="14.4" x14ac:dyDescent="0.3"/>
  <cols>
    <col min="1" max="1" width="23" customWidth="1"/>
    <col min="2" max="2" width="29.88671875" hidden="1" customWidth="1"/>
    <col min="3" max="3" width="11" hidden="1" customWidth="1"/>
    <col min="4" max="4" width="22" hidden="1" customWidth="1"/>
    <col min="5" max="5" width="40" hidden="1" customWidth="1"/>
    <col min="10" max="10" width="1.88671875" customWidth="1"/>
    <col min="11" max="11" width="15.88671875" bestFit="1" customWidth="1"/>
    <col min="13" max="13" width="9.6640625" bestFit="1" customWidth="1"/>
    <col min="15" max="15" width="18" bestFit="1" customWidth="1"/>
  </cols>
  <sheetData>
    <row r="1" spans="1:15" x14ac:dyDescent="0.3">
      <c r="A1" s="8" t="s">
        <v>46</v>
      </c>
      <c r="B1" s="2" t="s">
        <v>0</v>
      </c>
      <c r="C1" s="2" t="s">
        <v>14</v>
      </c>
      <c r="D1" s="2" t="s">
        <v>16</v>
      </c>
      <c r="E1" s="3" t="s">
        <v>1</v>
      </c>
      <c r="G1" s="13" t="s">
        <v>44</v>
      </c>
      <c r="H1" s="13" t="s">
        <v>48</v>
      </c>
      <c r="I1" s="13" t="s">
        <v>45</v>
      </c>
      <c r="K1" s="13" t="s">
        <v>15</v>
      </c>
      <c r="M1" s="13" t="s">
        <v>47</v>
      </c>
      <c r="O1" s="13" t="s">
        <v>49</v>
      </c>
    </row>
    <row r="2" spans="1:15" x14ac:dyDescent="0.3">
      <c r="A2" s="9">
        <v>44971.640451388892</v>
      </c>
      <c r="B2" s="1" t="s">
        <v>34</v>
      </c>
      <c r="C2" s="1" t="s">
        <v>17</v>
      </c>
      <c r="D2" s="1" t="s">
        <v>18</v>
      </c>
      <c r="E2" s="4" t="s">
        <v>5</v>
      </c>
      <c r="G2">
        <f>MONTH(A2)</f>
        <v>2</v>
      </c>
      <c r="H2">
        <f>DAY(A2)</f>
        <v>14</v>
      </c>
      <c r="I2">
        <f>YEAR(A2)</f>
        <v>2023</v>
      </c>
      <c r="K2" s="7">
        <f>DATE(I2,G2,H2)</f>
        <v>44971</v>
      </c>
      <c r="M2" s="7">
        <f ca="1">TODAY()</f>
        <v>46205</v>
      </c>
      <c r="O2">
        <f ca="1">DATEDIF(A2,$M$2,"D")</f>
        <v>1234</v>
      </c>
    </row>
    <row r="3" spans="1:15" x14ac:dyDescent="0.3">
      <c r="A3" s="9">
        <v>45055.40662037037</v>
      </c>
      <c r="B3" s="1" t="s">
        <v>32</v>
      </c>
      <c r="C3" s="1" t="s">
        <v>19</v>
      </c>
      <c r="D3" s="1" t="s">
        <v>20</v>
      </c>
      <c r="E3" s="4" t="s">
        <v>7</v>
      </c>
      <c r="G3">
        <f t="shared" ref="G3:G21" si="0">MONTH(A3)</f>
        <v>5</v>
      </c>
      <c r="H3">
        <f t="shared" ref="H3:H21" si="1">DAY(A3)</f>
        <v>9</v>
      </c>
      <c r="I3">
        <f t="shared" ref="I3:I21" si="2">YEAR(A3)</f>
        <v>2023</v>
      </c>
      <c r="K3" s="7">
        <f t="shared" ref="K3:K21" si="3">DATE(I3,G3,H3)</f>
        <v>45055</v>
      </c>
      <c r="O3">
        <f ca="1">DATEDIF(A3,$M$2,"D")</f>
        <v>1150</v>
      </c>
    </row>
    <row r="4" spans="1:15" x14ac:dyDescent="0.3">
      <c r="A4" s="9">
        <v>45128.729710648149</v>
      </c>
      <c r="B4" s="1" t="s">
        <v>42</v>
      </c>
      <c r="C4" s="1" t="s">
        <v>21</v>
      </c>
      <c r="D4" s="1" t="s">
        <v>20</v>
      </c>
      <c r="E4" s="4" t="s">
        <v>2</v>
      </c>
      <c r="G4">
        <f t="shared" si="0"/>
        <v>7</v>
      </c>
      <c r="H4">
        <f t="shared" si="1"/>
        <v>21</v>
      </c>
      <c r="I4">
        <f t="shared" si="2"/>
        <v>2023</v>
      </c>
      <c r="K4" s="7">
        <f t="shared" si="3"/>
        <v>45128</v>
      </c>
      <c r="O4">
        <f t="shared" ref="O4:O21" ca="1" si="4">DATEDIF(A4,$M$2,"D")</f>
        <v>1077</v>
      </c>
    </row>
    <row r="5" spans="1:15" x14ac:dyDescent="0.3">
      <c r="A5" s="9">
        <v>45173.302187499998</v>
      </c>
      <c r="B5" s="1" t="s">
        <v>34</v>
      </c>
      <c r="C5" s="1" t="s">
        <v>17</v>
      </c>
      <c r="D5" s="1" t="s">
        <v>18</v>
      </c>
      <c r="E5" s="4" t="s">
        <v>5</v>
      </c>
      <c r="G5">
        <f t="shared" si="0"/>
        <v>9</v>
      </c>
      <c r="H5">
        <f t="shared" si="1"/>
        <v>4</v>
      </c>
      <c r="I5">
        <f t="shared" si="2"/>
        <v>2023</v>
      </c>
      <c r="K5" s="7">
        <f t="shared" si="3"/>
        <v>45173</v>
      </c>
      <c r="O5">
        <f t="shared" ca="1" si="4"/>
        <v>1032</v>
      </c>
    </row>
    <row r="6" spans="1:15" x14ac:dyDescent="0.3">
      <c r="A6" s="9">
        <v>45248.70857638889</v>
      </c>
      <c r="B6" s="1" t="s">
        <v>33</v>
      </c>
      <c r="C6" s="1" t="s">
        <v>23</v>
      </c>
      <c r="D6" s="1" t="s">
        <v>24</v>
      </c>
      <c r="E6" s="4" t="s">
        <v>4</v>
      </c>
      <c r="G6">
        <f t="shared" si="0"/>
        <v>11</v>
      </c>
      <c r="H6">
        <f t="shared" si="1"/>
        <v>18</v>
      </c>
      <c r="I6">
        <f t="shared" si="2"/>
        <v>2023</v>
      </c>
      <c r="K6" s="7">
        <f t="shared" si="3"/>
        <v>45248</v>
      </c>
      <c r="O6">
        <f t="shared" ca="1" si="4"/>
        <v>957</v>
      </c>
    </row>
    <row r="7" spans="1:15" x14ac:dyDescent="0.3">
      <c r="A7" s="9">
        <v>45302.531921296293</v>
      </c>
      <c r="B7" s="1" t="s">
        <v>36</v>
      </c>
      <c r="C7" s="1" t="s">
        <v>25</v>
      </c>
      <c r="D7" s="1" t="s">
        <v>24</v>
      </c>
      <c r="E7" s="4" t="s">
        <v>8</v>
      </c>
      <c r="G7">
        <f t="shared" si="0"/>
        <v>1</v>
      </c>
      <c r="H7">
        <f t="shared" si="1"/>
        <v>11</v>
      </c>
      <c r="I7">
        <f t="shared" si="2"/>
        <v>2024</v>
      </c>
      <c r="K7" s="7">
        <f t="shared" si="3"/>
        <v>45302</v>
      </c>
      <c r="O7">
        <f t="shared" ca="1" si="4"/>
        <v>903</v>
      </c>
    </row>
    <row r="8" spans="1:15" x14ac:dyDescent="0.3">
      <c r="A8" s="9">
        <v>45354.687881944446</v>
      </c>
      <c r="B8" s="1" t="s">
        <v>42</v>
      </c>
      <c r="C8" s="1" t="s">
        <v>21</v>
      </c>
      <c r="D8" s="1" t="s">
        <v>20</v>
      </c>
      <c r="E8" s="4" t="s">
        <v>2</v>
      </c>
      <c r="G8">
        <f t="shared" si="0"/>
        <v>3</v>
      </c>
      <c r="H8">
        <f t="shared" si="1"/>
        <v>3</v>
      </c>
      <c r="I8">
        <f t="shared" si="2"/>
        <v>2024</v>
      </c>
      <c r="K8" s="7">
        <f t="shared" si="3"/>
        <v>45354</v>
      </c>
      <c r="M8" s="7"/>
      <c r="O8">
        <f t="shared" ca="1" si="4"/>
        <v>851</v>
      </c>
    </row>
    <row r="9" spans="1:15" x14ac:dyDescent="0.3">
      <c r="A9" s="9">
        <v>45408.340810185182</v>
      </c>
      <c r="B9" s="1" t="s">
        <v>36</v>
      </c>
      <c r="C9" s="1" t="s">
        <v>25</v>
      </c>
      <c r="D9" s="1" t="s">
        <v>24</v>
      </c>
      <c r="E9" s="4" t="s">
        <v>8</v>
      </c>
      <c r="G9">
        <f t="shared" si="0"/>
        <v>4</v>
      </c>
      <c r="H9">
        <f t="shared" si="1"/>
        <v>26</v>
      </c>
      <c r="I9">
        <f t="shared" si="2"/>
        <v>2024</v>
      </c>
      <c r="K9" s="7">
        <f t="shared" si="3"/>
        <v>45408</v>
      </c>
      <c r="O9">
        <f t="shared" ca="1" si="4"/>
        <v>797</v>
      </c>
    </row>
    <row r="10" spans="1:15" x14ac:dyDescent="0.3">
      <c r="A10" s="9">
        <v>45458.743333333332</v>
      </c>
      <c r="B10" s="1" t="s">
        <v>38</v>
      </c>
      <c r="C10" s="1" t="s">
        <v>27</v>
      </c>
      <c r="D10" s="1" t="s">
        <v>20</v>
      </c>
      <c r="E10" s="4" t="s">
        <v>11</v>
      </c>
      <c r="G10">
        <f t="shared" si="0"/>
        <v>6</v>
      </c>
      <c r="H10">
        <f t="shared" si="1"/>
        <v>15</v>
      </c>
      <c r="I10">
        <f t="shared" si="2"/>
        <v>2024</v>
      </c>
      <c r="K10" s="7">
        <f t="shared" si="3"/>
        <v>45458</v>
      </c>
      <c r="O10">
        <f t="shared" ca="1" si="4"/>
        <v>747</v>
      </c>
    </row>
    <row r="11" spans="1:15" x14ac:dyDescent="0.3">
      <c r="A11" s="9">
        <v>45480.608055555553</v>
      </c>
      <c r="B11" s="1" t="s">
        <v>40</v>
      </c>
      <c r="C11" s="1" t="s">
        <v>27</v>
      </c>
      <c r="D11" s="1" t="s">
        <v>26</v>
      </c>
      <c r="E11" s="4" t="s">
        <v>6</v>
      </c>
      <c r="G11">
        <f t="shared" si="0"/>
        <v>7</v>
      </c>
      <c r="H11">
        <f t="shared" si="1"/>
        <v>7</v>
      </c>
      <c r="I11">
        <f t="shared" si="2"/>
        <v>2024</v>
      </c>
      <c r="K11" s="7">
        <f>DATE(I11,G11,H11)</f>
        <v>45480</v>
      </c>
      <c r="O11">
        <f t="shared" ca="1" si="4"/>
        <v>725</v>
      </c>
    </row>
    <row r="12" spans="1:15" x14ac:dyDescent="0.3">
      <c r="A12" s="9">
        <v>45455.284930555557</v>
      </c>
      <c r="B12" s="1" t="s">
        <v>35</v>
      </c>
      <c r="C12" s="1" t="s">
        <v>27</v>
      </c>
      <c r="D12" s="1" t="s">
        <v>28</v>
      </c>
      <c r="E12" s="4" t="s">
        <v>10</v>
      </c>
      <c r="G12">
        <f t="shared" si="0"/>
        <v>6</v>
      </c>
      <c r="H12">
        <f t="shared" si="1"/>
        <v>12</v>
      </c>
      <c r="I12">
        <f t="shared" si="2"/>
        <v>2024</v>
      </c>
      <c r="K12" s="7">
        <f t="shared" si="3"/>
        <v>45455</v>
      </c>
      <c r="O12">
        <f t="shared" ca="1" si="4"/>
        <v>750</v>
      </c>
    </row>
    <row r="13" spans="1:15" x14ac:dyDescent="0.3">
      <c r="A13" s="9">
        <v>44951.552141203705</v>
      </c>
      <c r="B13" s="1" t="s">
        <v>41</v>
      </c>
      <c r="C13" s="1" t="s">
        <v>29</v>
      </c>
      <c r="D13" s="1" t="s">
        <v>20</v>
      </c>
      <c r="E13" s="4" t="s">
        <v>9</v>
      </c>
      <c r="G13">
        <f t="shared" si="0"/>
        <v>1</v>
      </c>
      <c r="H13">
        <f t="shared" si="1"/>
        <v>25</v>
      </c>
      <c r="I13">
        <f t="shared" si="2"/>
        <v>2023</v>
      </c>
      <c r="K13" s="7">
        <f t="shared" si="3"/>
        <v>44951</v>
      </c>
      <c r="O13">
        <f t="shared" ca="1" si="4"/>
        <v>1254</v>
      </c>
    </row>
    <row r="14" spans="1:15" x14ac:dyDescent="0.3">
      <c r="A14" s="9">
        <v>45002.490034722221</v>
      </c>
      <c r="B14" s="1" t="s">
        <v>36</v>
      </c>
      <c r="C14" s="1" t="s">
        <v>25</v>
      </c>
      <c r="D14" s="1" t="s">
        <v>24</v>
      </c>
      <c r="E14" s="4" t="s">
        <v>8</v>
      </c>
      <c r="G14">
        <f t="shared" si="0"/>
        <v>3</v>
      </c>
      <c r="H14">
        <f t="shared" si="1"/>
        <v>17</v>
      </c>
      <c r="I14">
        <f t="shared" si="2"/>
        <v>2023</v>
      </c>
      <c r="K14" s="7">
        <f t="shared" si="3"/>
        <v>45002</v>
      </c>
      <c r="O14">
        <f t="shared" ca="1" si="4"/>
        <v>1203</v>
      </c>
    </row>
    <row r="15" spans="1:15" x14ac:dyDescent="0.3">
      <c r="A15" s="9">
        <v>45078.417256944442</v>
      </c>
      <c r="B15" s="1" t="s">
        <v>39</v>
      </c>
      <c r="C15" s="1" t="s">
        <v>27</v>
      </c>
      <c r="D15" s="1" t="s">
        <v>20</v>
      </c>
      <c r="E15" s="4" t="s">
        <v>12</v>
      </c>
      <c r="G15">
        <f t="shared" si="0"/>
        <v>6</v>
      </c>
      <c r="H15">
        <f t="shared" si="1"/>
        <v>1</v>
      </c>
      <c r="I15">
        <f t="shared" si="2"/>
        <v>2023</v>
      </c>
      <c r="K15" s="7">
        <f t="shared" si="3"/>
        <v>45078</v>
      </c>
      <c r="O15">
        <f t="shared" ca="1" si="4"/>
        <v>1127</v>
      </c>
    </row>
    <row r="16" spans="1:15" x14ac:dyDescent="0.3">
      <c r="A16" s="9">
        <v>45168.729328703703</v>
      </c>
      <c r="B16" s="1" t="s">
        <v>43</v>
      </c>
      <c r="C16" s="1" t="s">
        <v>22</v>
      </c>
      <c r="D16" s="1" t="s">
        <v>20</v>
      </c>
      <c r="E16" s="4" t="s">
        <v>13</v>
      </c>
      <c r="G16">
        <f t="shared" si="0"/>
        <v>8</v>
      </c>
      <c r="H16">
        <f t="shared" si="1"/>
        <v>30</v>
      </c>
      <c r="I16">
        <f t="shared" si="2"/>
        <v>2023</v>
      </c>
      <c r="K16" s="7">
        <f t="shared" si="3"/>
        <v>45168</v>
      </c>
      <c r="O16">
        <f t="shared" ca="1" si="4"/>
        <v>1037</v>
      </c>
    </row>
    <row r="17" spans="1:15" x14ac:dyDescent="0.3">
      <c r="A17" s="9">
        <v>45218.319780092592</v>
      </c>
      <c r="B17" s="1" t="s">
        <v>32</v>
      </c>
      <c r="C17" s="1" t="s">
        <v>19</v>
      </c>
      <c r="D17" s="1" t="s">
        <v>31</v>
      </c>
      <c r="E17" s="4" t="s">
        <v>7</v>
      </c>
      <c r="G17">
        <f t="shared" si="0"/>
        <v>10</v>
      </c>
      <c r="H17">
        <f t="shared" si="1"/>
        <v>19</v>
      </c>
      <c r="I17">
        <f t="shared" si="2"/>
        <v>2023</v>
      </c>
      <c r="K17" s="7">
        <f t="shared" si="3"/>
        <v>45218</v>
      </c>
      <c r="O17">
        <f t="shared" ca="1" si="4"/>
        <v>987</v>
      </c>
    </row>
    <row r="18" spans="1:15" x14ac:dyDescent="0.3">
      <c r="A18" s="9">
        <v>45350.719236111108</v>
      </c>
      <c r="B18" s="1" t="s">
        <v>33</v>
      </c>
      <c r="C18" s="1" t="s">
        <v>23</v>
      </c>
      <c r="D18" s="1" t="s">
        <v>24</v>
      </c>
      <c r="E18" s="4" t="s">
        <v>4</v>
      </c>
      <c r="G18">
        <f t="shared" si="0"/>
        <v>2</v>
      </c>
      <c r="H18">
        <f t="shared" si="1"/>
        <v>28</v>
      </c>
      <c r="I18">
        <f t="shared" si="2"/>
        <v>2024</v>
      </c>
      <c r="K18" s="7">
        <f t="shared" si="3"/>
        <v>45350</v>
      </c>
      <c r="O18">
        <f t="shared" ca="1" si="4"/>
        <v>855</v>
      </c>
    </row>
    <row r="19" spans="1:15" x14ac:dyDescent="0.3">
      <c r="A19" s="9">
        <v>45418.726354166669</v>
      </c>
      <c r="B19" s="1" t="s">
        <v>37</v>
      </c>
      <c r="C19" s="1" t="s">
        <v>22</v>
      </c>
      <c r="D19" s="1" t="s">
        <v>30</v>
      </c>
      <c r="E19" s="4" t="s">
        <v>3</v>
      </c>
      <c r="G19">
        <f t="shared" si="0"/>
        <v>5</v>
      </c>
      <c r="H19">
        <f t="shared" si="1"/>
        <v>6</v>
      </c>
      <c r="I19">
        <f t="shared" si="2"/>
        <v>2024</v>
      </c>
      <c r="K19" s="7">
        <f t="shared" si="3"/>
        <v>45418</v>
      </c>
      <c r="O19">
        <f t="shared" ca="1" si="4"/>
        <v>787</v>
      </c>
    </row>
    <row r="20" spans="1:15" x14ac:dyDescent="0.3">
      <c r="A20" s="9">
        <v>45496.291701388887</v>
      </c>
      <c r="B20" s="1" t="s">
        <v>33</v>
      </c>
      <c r="C20" s="1" t="s">
        <v>23</v>
      </c>
      <c r="D20" s="1" t="s">
        <v>24</v>
      </c>
      <c r="E20" s="4" t="s">
        <v>4</v>
      </c>
      <c r="G20">
        <f t="shared" si="0"/>
        <v>7</v>
      </c>
      <c r="H20">
        <f t="shared" si="1"/>
        <v>23</v>
      </c>
      <c r="I20">
        <f t="shared" si="2"/>
        <v>2024</v>
      </c>
      <c r="K20" s="7">
        <f t="shared" si="3"/>
        <v>45496</v>
      </c>
      <c r="O20">
        <f t="shared" ca="1" si="4"/>
        <v>709</v>
      </c>
    </row>
    <row r="21" spans="1:15" ht="15" thickBot="1" x14ac:dyDescent="0.35">
      <c r="A21" s="10">
        <v>45422.739884259259</v>
      </c>
      <c r="B21" s="5" t="s">
        <v>33</v>
      </c>
      <c r="C21" s="5" t="s">
        <v>23</v>
      </c>
      <c r="D21" s="5" t="s">
        <v>30</v>
      </c>
      <c r="E21" s="6" t="s">
        <v>4</v>
      </c>
      <c r="G21">
        <f t="shared" si="0"/>
        <v>5</v>
      </c>
      <c r="H21">
        <f t="shared" si="1"/>
        <v>10</v>
      </c>
      <c r="I21">
        <f t="shared" si="2"/>
        <v>2024</v>
      </c>
      <c r="K21" s="7">
        <f t="shared" si="3"/>
        <v>45422</v>
      </c>
      <c r="O21">
        <f t="shared" ca="1" si="4"/>
        <v>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K26"/>
  <sheetViews>
    <sheetView workbookViewId="0">
      <selection activeCell="B1" sqref="B1:E1048576"/>
    </sheetView>
  </sheetViews>
  <sheetFormatPr defaultRowHeight="14.4" x14ac:dyDescent="0.3"/>
  <cols>
    <col min="1" max="1" width="23" customWidth="1"/>
    <col min="6" max="6" width="2.77734375" customWidth="1"/>
    <col min="7" max="7" width="15.88671875" bestFit="1" customWidth="1"/>
    <col min="8" max="8" width="14.44140625" bestFit="1" customWidth="1"/>
  </cols>
  <sheetData>
    <row r="1" spans="1:11" x14ac:dyDescent="0.3">
      <c r="A1" s="8" t="s">
        <v>46</v>
      </c>
      <c r="C1" s="13" t="s">
        <v>50</v>
      </c>
      <c r="D1" s="13" t="s">
        <v>51</v>
      </c>
      <c r="E1" s="13" t="s">
        <v>52</v>
      </c>
      <c r="G1" s="13" t="s">
        <v>55</v>
      </c>
      <c r="H1" s="13" t="s">
        <v>55</v>
      </c>
      <c r="J1" s="13" t="s">
        <v>53</v>
      </c>
      <c r="K1" s="14"/>
    </row>
    <row r="2" spans="1:11" x14ac:dyDescent="0.3">
      <c r="A2" s="9">
        <v>44971.640451388892</v>
      </c>
      <c r="C2">
        <f>HOUR(A2)</f>
        <v>15</v>
      </c>
      <c r="D2">
        <f>MINUTE(A2)</f>
        <v>22</v>
      </c>
      <c r="E2">
        <f>SECOND(A2)</f>
        <v>15</v>
      </c>
      <c r="G2" s="11">
        <f>TIME(C2,D2,E2)</f>
        <v>0.64045138888888886</v>
      </c>
      <c r="H2" t="str">
        <f>TEXT(A2, "hh:mm")</f>
        <v>15:22</v>
      </c>
      <c r="J2" t="s">
        <v>50</v>
      </c>
      <c r="K2" t="s">
        <v>54</v>
      </c>
    </row>
    <row r="3" spans="1:11" x14ac:dyDescent="0.3">
      <c r="A3" s="9">
        <v>45055.40662037037</v>
      </c>
      <c r="C3">
        <f>HOUR(A3)</f>
        <v>9</v>
      </c>
      <c r="D3">
        <f>MINUTE(A3)</f>
        <v>45</v>
      </c>
      <c r="E3">
        <f>SECOND(A3)</f>
        <v>32</v>
      </c>
      <c r="G3" s="11">
        <f t="shared" ref="G3:G21" si="0">TIME(C3,D3,E3)</f>
        <v>0.40662037037037035</v>
      </c>
      <c r="H3" t="str">
        <f>TEXT(A3, "hh:mm")</f>
        <v>09:45</v>
      </c>
      <c r="J3" s="12">
        <v>1</v>
      </c>
      <c r="K3">
        <f>COUNTIF($C$2:$C$21,J3)</f>
        <v>0</v>
      </c>
    </row>
    <row r="4" spans="1:11" x14ac:dyDescent="0.3">
      <c r="A4" s="9">
        <v>45128.729710648149</v>
      </c>
      <c r="C4">
        <f>HOUR(A4)</f>
        <v>17</v>
      </c>
      <c r="D4">
        <f>MINUTE(A4)</f>
        <v>30</v>
      </c>
      <c r="E4">
        <f>SECOND(A4)</f>
        <v>47</v>
      </c>
      <c r="G4" s="11">
        <f t="shared" si="0"/>
        <v>0.72971064814814812</v>
      </c>
      <c r="H4" t="str">
        <f>TEXT(A4, "hh:mm")</f>
        <v>17:30</v>
      </c>
      <c r="J4" s="12">
        <v>2</v>
      </c>
      <c r="K4">
        <f t="shared" ref="K4:K26" si="1">COUNTIF($C$2:$C$21,J4)</f>
        <v>0</v>
      </c>
    </row>
    <row r="5" spans="1:11" x14ac:dyDescent="0.3">
      <c r="A5" s="9">
        <v>45173.302187499998</v>
      </c>
      <c r="C5">
        <f>HOUR(A5)</f>
        <v>7</v>
      </c>
      <c r="D5">
        <f>MINUTE(A5)</f>
        <v>15</v>
      </c>
      <c r="E5">
        <f>SECOND(A5)</f>
        <v>9</v>
      </c>
      <c r="G5" s="11">
        <f t="shared" si="0"/>
        <v>0.3021875</v>
      </c>
      <c r="H5" t="str">
        <f>TEXT(A5, "hh:mm")</f>
        <v>07:15</v>
      </c>
      <c r="J5" s="12">
        <v>3</v>
      </c>
      <c r="K5">
        <f t="shared" si="1"/>
        <v>0</v>
      </c>
    </row>
    <row r="6" spans="1:11" x14ac:dyDescent="0.3">
      <c r="A6" s="9">
        <v>45248.70857638889</v>
      </c>
      <c r="C6">
        <f>HOUR(A6)</f>
        <v>17</v>
      </c>
      <c r="D6">
        <f>MINUTE(A6)</f>
        <v>0</v>
      </c>
      <c r="E6">
        <f>SECOND(A6)</f>
        <v>21</v>
      </c>
      <c r="G6" s="11">
        <f t="shared" si="0"/>
        <v>0.70857638888888885</v>
      </c>
      <c r="H6" t="str">
        <f>TEXT(A6, "hh:mm")</f>
        <v>17:00</v>
      </c>
      <c r="J6" s="12">
        <v>4</v>
      </c>
      <c r="K6">
        <f t="shared" si="1"/>
        <v>0</v>
      </c>
    </row>
    <row r="7" spans="1:11" x14ac:dyDescent="0.3">
      <c r="A7" s="9">
        <v>45302.531921296293</v>
      </c>
      <c r="C7">
        <f>HOUR(A7)</f>
        <v>12</v>
      </c>
      <c r="D7">
        <f>MINUTE(A7)</f>
        <v>45</v>
      </c>
      <c r="E7">
        <f>SECOND(A7)</f>
        <v>58</v>
      </c>
      <c r="G7" s="11">
        <f t="shared" si="0"/>
        <v>0.53192129629629625</v>
      </c>
      <c r="H7" t="str">
        <f>TEXT(A7, "hh:mm")</f>
        <v>12:45</v>
      </c>
      <c r="J7" s="12">
        <v>5</v>
      </c>
      <c r="K7">
        <f t="shared" si="1"/>
        <v>0</v>
      </c>
    </row>
    <row r="8" spans="1:11" x14ac:dyDescent="0.3">
      <c r="A8" s="9">
        <v>45354.687881944446</v>
      </c>
      <c r="C8">
        <f>HOUR(A8)</f>
        <v>16</v>
      </c>
      <c r="D8">
        <f>MINUTE(A8)</f>
        <v>30</v>
      </c>
      <c r="E8">
        <f>SECOND(A8)</f>
        <v>33</v>
      </c>
      <c r="G8" s="11">
        <f t="shared" si="0"/>
        <v>0.68788194444444439</v>
      </c>
      <c r="H8" t="str">
        <f>TEXT(A8, "hh:mm")</f>
        <v>16:30</v>
      </c>
      <c r="J8" s="12">
        <v>6</v>
      </c>
      <c r="K8">
        <f t="shared" si="1"/>
        <v>1</v>
      </c>
    </row>
    <row r="9" spans="1:11" x14ac:dyDescent="0.3">
      <c r="A9" s="9">
        <v>45408.340810185182</v>
      </c>
      <c r="C9">
        <f>HOUR(A9)</f>
        <v>8</v>
      </c>
      <c r="D9">
        <f>MINUTE(A9)</f>
        <v>10</v>
      </c>
      <c r="E9">
        <f>SECOND(A9)</f>
        <v>46</v>
      </c>
      <c r="G9" s="11">
        <f t="shared" si="0"/>
        <v>0.34081018518518519</v>
      </c>
      <c r="H9" t="str">
        <f>TEXT(A9, "hh:mm")</f>
        <v>08:10</v>
      </c>
      <c r="J9" s="12">
        <v>7</v>
      </c>
      <c r="K9">
        <f t="shared" si="1"/>
        <v>3</v>
      </c>
    </row>
    <row r="10" spans="1:11" x14ac:dyDescent="0.3">
      <c r="A10" s="9">
        <v>45458.743333333332</v>
      </c>
      <c r="C10">
        <f>HOUR(A10)</f>
        <v>17</v>
      </c>
      <c r="D10">
        <f>MINUTE(A10)</f>
        <v>50</v>
      </c>
      <c r="E10">
        <f>SECOND(A10)</f>
        <v>24</v>
      </c>
      <c r="G10" s="11">
        <f t="shared" si="0"/>
        <v>0.74333333333333329</v>
      </c>
      <c r="H10" t="str">
        <f>TEXT(A10, "hh:mm")</f>
        <v>17:50</v>
      </c>
      <c r="J10" s="12">
        <v>8</v>
      </c>
      <c r="K10">
        <f t="shared" si="1"/>
        <v>1</v>
      </c>
    </row>
    <row r="11" spans="1:11" x14ac:dyDescent="0.3">
      <c r="A11" s="9">
        <v>45480.608055555553</v>
      </c>
      <c r="C11">
        <f>HOUR(A11)</f>
        <v>14</v>
      </c>
      <c r="D11">
        <f>MINUTE(A11)</f>
        <v>35</v>
      </c>
      <c r="E11">
        <f>SECOND(A11)</f>
        <v>36</v>
      </c>
      <c r="G11" s="11">
        <f t="shared" si="0"/>
        <v>0.60805555555555557</v>
      </c>
      <c r="H11" t="str">
        <f>TEXT(A11, "hh:mm")</f>
        <v>14:35</v>
      </c>
      <c r="J11" s="12">
        <v>9</v>
      </c>
      <c r="K11">
        <f t="shared" si="1"/>
        <v>1</v>
      </c>
    </row>
    <row r="12" spans="1:11" x14ac:dyDescent="0.3">
      <c r="A12" s="9">
        <v>45455.284930555557</v>
      </c>
      <c r="C12">
        <f>HOUR(A12)</f>
        <v>6</v>
      </c>
      <c r="D12">
        <f>MINUTE(A12)</f>
        <v>50</v>
      </c>
      <c r="E12">
        <f>SECOND(A12)</f>
        <v>18</v>
      </c>
      <c r="G12" s="11">
        <f t="shared" si="0"/>
        <v>0.28493055555555558</v>
      </c>
      <c r="H12" t="str">
        <f>TEXT(A12, "hh:mm")</f>
        <v>06:50</v>
      </c>
      <c r="J12" s="12">
        <v>10</v>
      </c>
      <c r="K12">
        <f t="shared" si="1"/>
        <v>1</v>
      </c>
    </row>
    <row r="13" spans="1:11" x14ac:dyDescent="0.3">
      <c r="A13" s="9">
        <v>44951.552141203705</v>
      </c>
      <c r="C13">
        <f>HOUR(A13)</f>
        <v>13</v>
      </c>
      <c r="D13">
        <f>MINUTE(A13)</f>
        <v>15</v>
      </c>
      <c r="E13">
        <f>SECOND(A13)</f>
        <v>5</v>
      </c>
      <c r="G13" s="11">
        <f t="shared" si="0"/>
        <v>0.55214120370370368</v>
      </c>
      <c r="H13" t="str">
        <f>TEXT(A13, "hh:mm")</f>
        <v>13:15</v>
      </c>
      <c r="J13" s="12">
        <v>11</v>
      </c>
      <c r="K13">
        <f t="shared" si="1"/>
        <v>1</v>
      </c>
    </row>
    <row r="14" spans="1:11" x14ac:dyDescent="0.3">
      <c r="A14" s="9">
        <v>45002.490034722221</v>
      </c>
      <c r="C14">
        <f>HOUR(A14)</f>
        <v>11</v>
      </c>
      <c r="D14">
        <f>MINUTE(A14)</f>
        <v>45</v>
      </c>
      <c r="E14">
        <f>SECOND(A14)</f>
        <v>39</v>
      </c>
      <c r="G14" s="11">
        <f t="shared" si="0"/>
        <v>0.49003472222222222</v>
      </c>
      <c r="H14" t="str">
        <f>TEXT(A14, "hh:mm")</f>
        <v>11:45</v>
      </c>
      <c r="J14" s="12">
        <v>12</v>
      </c>
      <c r="K14">
        <f t="shared" si="1"/>
        <v>1</v>
      </c>
    </row>
    <row r="15" spans="1:11" x14ac:dyDescent="0.3">
      <c r="A15" s="9">
        <v>45078.417256944442</v>
      </c>
      <c r="C15">
        <f>HOUR(A15)</f>
        <v>10</v>
      </c>
      <c r="D15">
        <f>MINUTE(A15)</f>
        <v>0</v>
      </c>
      <c r="E15">
        <f>SECOND(A15)</f>
        <v>51</v>
      </c>
      <c r="G15" s="11">
        <f t="shared" si="0"/>
        <v>0.41725694444444444</v>
      </c>
      <c r="H15" t="str">
        <f>TEXT(A15, "hh:mm")</f>
        <v>10:00</v>
      </c>
      <c r="J15" s="12">
        <v>13</v>
      </c>
      <c r="K15">
        <f t="shared" si="1"/>
        <v>1</v>
      </c>
    </row>
    <row r="16" spans="1:11" x14ac:dyDescent="0.3">
      <c r="A16" s="9">
        <v>45168.729328703703</v>
      </c>
      <c r="C16">
        <f>HOUR(A16)</f>
        <v>17</v>
      </c>
      <c r="D16">
        <f>MINUTE(A16)</f>
        <v>30</v>
      </c>
      <c r="E16">
        <f>SECOND(A16)</f>
        <v>14</v>
      </c>
      <c r="G16" s="11">
        <f t="shared" si="0"/>
        <v>0.72932870370370373</v>
      </c>
      <c r="H16" t="str">
        <f>TEXT(A16, "hh:mm")</f>
        <v>17:30</v>
      </c>
      <c r="J16" s="12">
        <v>14</v>
      </c>
      <c r="K16">
        <f t="shared" si="1"/>
        <v>1</v>
      </c>
    </row>
    <row r="17" spans="1:11" x14ac:dyDescent="0.3">
      <c r="A17" s="9">
        <v>45218.319780092592</v>
      </c>
      <c r="C17">
        <f>HOUR(A17)</f>
        <v>7</v>
      </c>
      <c r="D17">
        <f>MINUTE(A17)</f>
        <v>40</v>
      </c>
      <c r="E17">
        <f>SECOND(A17)</f>
        <v>29</v>
      </c>
      <c r="G17" s="11">
        <f t="shared" si="0"/>
        <v>0.3197800925925926</v>
      </c>
      <c r="H17" t="str">
        <f>TEXT(A17, "hh:mm")</f>
        <v>07:40</v>
      </c>
      <c r="J17" s="12">
        <v>15</v>
      </c>
      <c r="K17">
        <f t="shared" si="1"/>
        <v>1</v>
      </c>
    </row>
    <row r="18" spans="1:11" x14ac:dyDescent="0.3">
      <c r="A18" s="9">
        <v>45350.719236111108</v>
      </c>
      <c r="C18">
        <f>HOUR(A18)</f>
        <v>17</v>
      </c>
      <c r="D18">
        <f>MINUTE(A18)</f>
        <v>15</v>
      </c>
      <c r="E18">
        <f>SECOND(A18)</f>
        <v>42</v>
      </c>
      <c r="G18" s="11">
        <f t="shared" si="0"/>
        <v>0.71923611111111108</v>
      </c>
      <c r="H18" t="str">
        <f>TEXT(A18, "hh:mm")</f>
        <v>17:15</v>
      </c>
      <c r="J18" s="12">
        <v>16</v>
      </c>
      <c r="K18">
        <f t="shared" si="1"/>
        <v>1</v>
      </c>
    </row>
    <row r="19" spans="1:11" x14ac:dyDescent="0.3">
      <c r="A19" s="9">
        <v>45418.726354166669</v>
      </c>
      <c r="C19">
        <f>HOUR(A19)</f>
        <v>17</v>
      </c>
      <c r="D19">
        <f>MINUTE(A19)</f>
        <v>25</v>
      </c>
      <c r="E19">
        <f>SECOND(A19)</f>
        <v>57</v>
      </c>
      <c r="G19" s="11">
        <f t="shared" si="0"/>
        <v>0.72635416666666663</v>
      </c>
      <c r="H19" t="str">
        <f>TEXT(A19, "hh:mm")</f>
        <v>17:25</v>
      </c>
      <c r="J19" s="12">
        <v>17</v>
      </c>
      <c r="K19">
        <f t="shared" si="1"/>
        <v>7</v>
      </c>
    </row>
    <row r="20" spans="1:11" x14ac:dyDescent="0.3">
      <c r="A20" s="9">
        <v>45496.291701388887</v>
      </c>
      <c r="C20">
        <f>HOUR(A20)</f>
        <v>7</v>
      </c>
      <c r="D20">
        <f>MINUTE(A20)</f>
        <v>0</v>
      </c>
      <c r="E20">
        <f>SECOND(A20)</f>
        <v>3</v>
      </c>
      <c r="G20" s="11">
        <f t="shared" si="0"/>
        <v>0.29170138888888891</v>
      </c>
      <c r="H20" t="str">
        <f>TEXT(A20, "hh:mm")</f>
        <v>07:00</v>
      </c>
      <c r="J20" s="12">
        <v>18</v>
      </c>
      <c r="K20">
        <f t="shared" si="1"/>
        <v>0</v>
      </c>
    </row>
    <row r="21" spans="1:11" ht="15" thickBot="1" x14ac:dyDescent="0.35">
      <c r="A21" s="10">
        <v>45422.739884259259</v>
      </c>
      <c r="C21">
        <f>HOUR(A21)</f>
        <v>17</v>
      </c>
      <c r="D21">
        <f>MINUTE(A21)</f>
        <v>45</v>
      </c>
      <c r="E21">
        <f>SECOND(A21)</f>
        <v>26</v>
      </c>
      <c r="G21" s="11">
        <f t="shared" si="0"/>
        <v>0.73988425925925927</v>
      </c>
      <c r="H21" t="str">
        <f>TEXT(A21, "hh:mm")</f>
        <v>17:45</v>
      </c>
      <c r="J21" s="12">
        <v>19</v>
      </c>
      <c r="K21">
        <f t="shared" si="1"/>
        <v>0</v>
      </c>
    </row>
    <row r="22" spans="1:11" x14ac:dyDescent="0.3">
      <c r="J22" s="12">
        <v>20</v>
      </c>
      <c r="K22">
        <f t="shared" si="1"/>
        <v>0</v>
      </c>
    </row>
    <row r="23" spans="1:11" x14ac:dyDescent="0.3">
      <c r="J23" s="12">
        <v>21</v>
      </c>
      <c r="K23">
        <f t="shared" si="1"/>
        <v>0</v>
      </c>
    </row>
    <row r="24" spans="1:11" x14ac:dyDescent="0.3">
      <c r="J24" s="12">
        <v>22</v>
      </c>
      <c r="K24">
        <f t="shared" si="1"/>
        <v>0</v>
      </c>
    </row>
    <row r="25" spans="1:11" x14ac:dyDescent="0.3">
      <c r="J25" s="12">
        <v>23</v>
      </c>
      <c r="K25">
        <f t="shared" si="1"/>
        <v>0</v>
      </c>
    </row>
    <row r="26" spans="1:11" x14ac:dyDescent="0.3">
      <c r="J26" s="12">
        <v>24</v>
      </c>
      <c r="K26">
        <f t="shared" si="1"/>
        <v>0</v>
      </c>
    </row>
  </sheetData>
  <autoFilter ref="A1:A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Uzeyir Elivasli</cp:lastModifiedBy>
  <dcterms:created xsi:type="dcterms:W3CDTF">2015-06-05T18:17:20Z</dcterms:created>
  <dcterms:modified xsi:type="dcterms:W3CDTF">2026-07-02T14:25:37Z</dcterms:modified>
</cp:coreProperties>
</file>