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Üzeyir\Downloads\"/>
    </mc:Choice>
  </mc:AlternateContent>
  <xr:revisionPtr revIDLastSave="0" documentId="13_ncr:1_{4D18AC24-A8A4-482B-8CEA-384655072E3B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G3" i="1"/>
  <c r="H3" i="1"/>
  <c r="I3" i="1"/>
  <c r="J3" i="1"/>
  <c r="K3" i="1"/>
  <c r="G4" i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 s="1"/>
  <c r="K12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<sst xmlns="http://schemas.openxmlformats.org/spreadsheetml/2006/main" count="120" uniqueCount="58">
  <si>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</si>
  <si>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</si>
  <si>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</si>
  <si>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</si>
  <si>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</si>
  <si>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</si>
  <si>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</si>
  <si>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</si>
  <si>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</si>
  <si>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</si>
  <si>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</si>
  <si>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</si>
  <si>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</si>
  <si>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</si>
  <si>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</si>
  <si>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</si>
  <si>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</si>
  <si>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</si>
  <si>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</si>
  <si>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</si>
  <si>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</si>
  <si>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</si>
  <si>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</si>
  <si>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</si>
  <si>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</si>
  <si>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</si>
  <si>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</si>
  <si>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</si>
  <si>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</si>
  <si>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</si>
  <si>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</si>
  <si>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</si>
  <si>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</si>
  <si>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</si>
  <si>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</si>
  <si>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</si>
  <si>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</si>
  <si>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</si>
  <si>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</si>
  <si>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</si>
  <si>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</si>
  <si>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</si>
  <si>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</si>
  <si>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</si>
  <si>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</si>
  <si>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</si>
  <si>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</si>
  <si>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</si>
  <si>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</si>
  <si>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</si>
  <si>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</si>
  <si>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</si>
  <si>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</si>
  <si>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Total salary</t>
  </si>
  <si>
    <t>Bonus rate(/)</t>
  </si>
  <si>
    <t>Confirm total salary</t>
  </si>
  <si>
    <t>Total salary is Confirmed total salary</t>
  </si>
  <si>
    <t>Is bonus &gt; annual salary?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</si>
</sst>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40" zoomScaleNormal="140" workbookViewId="0">
      <selection activeCell="D15" sqref="D15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6.88671875" style="4" bestFit="1" customWidth="1"/>
    <col min="6" max="6" width="12.33203125" style="4" hidden="1" customWidth="1"/>
    <col min="7" max="7" width="13" style="4" customWidth="1"/>
    <col min="8" max="9" width="13" style="4" hidden="1" customWidth="1"/>
    <col min="10" max="11" width="12.88671875" style="4" hidden="1" customWidth="1"/>
    <col min="12" max="13" width="9" style="4"/>
    <col min="14" max="14" width="11.21875" style="4" customWidth="1"/>
    <col min="15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53</v>
      </c>
      <c r="H2" s="23" t="s">
        <v>54</v>
      </c>
      <c r="I2" s="23" t="s">
        <v>55</v>
      </c>
      <c r="J2" s="23" t="s">
        <v>56</v>
      </c>
      <c r="K2" s="23" t="s">
        <v>57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D3&gt;=$C$16</f>
        <v>1</v>
      </c>
      <c r="N3" s="4">
        <f>M3*L3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>D4+E4</f>
        <v>147000</v>
      </c>
      <c r="H4" s="30">
        <f t="shared" ref="H4:H12" si="1">E4/D4</f>
        <v>8.8888888888888892E-2</v>
      </c>
      <c r="I4" s="4">
        <f t="shared" ref="I4:I12" si="2">H4*D4+D4</f>
        <v>147000</v>
      </c>
      <c r="J4" s="4" t="b">
        <f t="shared" ref="J4:J12" si="3">G4=I4</f>
        <v>1</v>
      </c>
      <c r="K4" s="4" t="b">
        <f t="shared" ref="K4:K12" si="4">E4&gt;D4</f>
        <v>0</v>
      </c>
      <c r="L4" s="4" t="b">
        <f t="shared" ref="L4:L12" si="5">$C$15&lt;=C4</f>
        <v>0</v>
      </c>
      <c r="M4" s="4" t="b">
        <f t="shared" ref="M4:M12" si="6">D4&gt;=$C$16</f>
        <v>1</v>
      </c>
      <c r="N4" s="4">
        <f t="shared" ref="N4:N12" si="7">M4*L4</f>
        <v>0</v>
      </c>
      <c r="O4" s="4" t="b">
        <f t="shared" ref="O4:O12" si="8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ref="G5:G12" si="9">D5+E5</f>
        <v>80000</v>
      </c>
      <c r="H5" s="30">
        <f t="shared" si="1"/>
        <v>6.6666666666666666E-2</v>
      </c>
      <c r="I5" s="4">
        <f t="shared" si="2"/>
        <v>80000</v>
      </c>
      <c r="J5" s="4" t="b">
        <f t="shared" si="3"/>
        <v>1</v>
      </c>
      <c r="K5" s="4" t="b">
        <f t="shared" si="4"/>
        <v>0</v>
      </c>
      <c r="L5" s="4" t="b">
        <f t="shared" si="5"/>
        <v>0</v>
      </c>
      <c r="M5" s="4" t="b">
        <f t="shared" si="6"/>
        <v>0</v>
      </c>
      <c r="N5" s="4">
        <f t="shared" si="7"/>
        <v>0</v>
      </c>
      <c r="O5" s="4" t="b">
        <f t="shared" si="8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9"/>
        <v>118000</v>
      </c>
      <c r="H6" s="30">
        <f t="shared" si="1"/>
        <v>7.2727272727272724E-2</v>
      </c>
      <c r="I6" s="4">
        <f t="shared" si="2"/>
        <v>118000</v>
      </c>
      <c r="J6" s="4" t="b">
        <f t="shared" si="3"/>
        <v>1</v>
      </c>
      <c r="K6" s="4" t="b">
        <f t="shared" si="4"/>
        <v>0</v>
      </c>
      <c r="L6" s="4" t="b">
        <f t="shared" si="5"/>
        <v>1</v>
      </c>
      <c r="M6" s="4" t="b">
        <f t="shared" si="6"/>
        <v>1</v>
      </c>
      <c r="N6" s="4">
        <f t="shared" si="7"/>
        <v>1</v>
      </c>
      <c r="O6" s="4" t="b">
        <f t="shared" si="8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9"/>
        <v>136000</v>
      </c>
      <c r="H7" s="30">
        <f t="shared" si="1"/>
        <v>8.7999999999999995E-2</v>
      </c>
      <c r="I7" s="4">
        <f t="shared" si="2"/>
        <v>136000</v>
      </c>
      <c r="J7" s="4" t="b">
        <f t="shared" si="3"/>
        <v>1</v>
      </c>
      <c r="K7" s="4" t="b">
        <f t="shared" si="4"/>
        <v>0</v>
      </c>
      <c r="L7" s="4" t="b">
        <f t="shared" si="5"/>
        <v>0</v>
      </c>
      <c r="M7" s="4" t="b">
        <f t="shared" si="6"/>
        <v>1</v>
      </c>
      <c r="N7" s="4">
        <f t="shared" si="7"/>
        <v>0</v>
      </c>
      <c r="O7" s="4" t="b">
        <f t="shared" si="8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9"/>
        <v>97000</v>
      </c>
      <c r="H8" s="30">
        <f t="shared" si="1"/>
        <v>7.7777777777777779E-2</v>
      </c>
      <c r="I8" s="4">
        <f t="shared" si="2"/>
        <v>97000</v>
      </c>
      <c r="J8" s="4" t="b">
        <f t="shared" si="3"/>
        <v>1</v>
      </c>
      <c r="K8" s="4" t="b">
        <f t="shared" si="4"/>
        <v>0</v>
      </c>
      <c r="L8" s="4" t="b">
        <f t="shared" si="5"/>
        <v>1</v>
      </c>
      <c r="M8" s="4" t="b">
        <f t="shared" si="6"/>
        <v>1</v>
      </c>
      <c r="N8" s="4">
        <f t="shared" si="7"/>
        <v>1</v>
      </c>
      <c r="O8" s="4" t="b">
        <f t="shared" si="8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9"/>
        <v>165000</v>
      </c>
      <c r="H9" s="30">
        <f t="shared" si="1"/>
        <v>0.1</v>
      </c>
      <c r="I9" s="4">
        <f t="shared" si="2"/>
        <v>165000</v>
      </c>
      <c r="J9" s="4" t="b">
        <f t="shared" si="3"/>
        <v>1</v>
      </c>
      <c r="K9" s="4" t="b">
        <f t="shared" si="4"/>
        <v>0</v>
      </c>
      <c r="L9" s="4" t="b">
        <f t="shared" si="5"/>
        <v>1</v>
      </c>
      <c r="M9" s="4" t="b">
        <f t="shared" si="6"/>
        <v>1</v>
      </c>
      <c r="N9" s="4">
        <f t="shared" si="7"/>
        <v>1</v>
      </c>
      <c r="O9" s="4" t="b">
        <f t="shared" si="8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9"/>
        <v>143000</v>
      </c>
      <c r="H10" s="30">
        <f t="shared" si="1"/>
        <v>0.1</v>
      </c>
      <c r="I10" s="4">
        <f t="shared" si="2"/>
        <v>143000</v>
      </c>
      <c r="J10" s="4" t="b">
        <f t="shared" si="3"/>
        <v>1</v>
      </c>
      <c r="K10" s="4" t="b">
        <f t="shared" si="4"/>
        <v>0</v>
      </c>
      <c r="L10" s="4" t="b">
        <f t="shared" si="5"/>
        <v>1</v>
      </c>
      <c r="M10" s="4" t="b">
        <f t="shared" si="6"/>
        <v>1</v>
      </c>
      <c r="N10" s="4">
        <f t="shared" si="7"/>
        <v>1</v>
      </c>
      <c r="O10" s="4" t="b">
        <f t="shared" si="8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9"/>
        <v>154000</v>
      </c>
      <c r="H11" s="30">
        <f t="shared" si="1"/>
        <v>0.1</v>
      </c>
      <c r="I11" s="4">
        <f t="shared" si="2"/>
        <v>154000</v>
      </c>
      <c r="J11" s="4" t="b">
        <f t="shared" si="3"/>
        <v>1</v>
      </c>
      <c r="K11" s="4" t="b">
        <f t="shared" si="4"/>
        <v>0</v>
      </c>
      <c r="L11" s="4" t="b">
        <f t="shared" si="5"/>
        <v>0</v>
      </c>
      <c r="M11" s="4" t="b">
        <f t="shared" si="6"/>
        <v>1</v>
      </c>
      <c r="N11" s="4">
        <f t="shared" si="7"/>
        <v>0</v>
      </c>
      <c r="O11" s="4" t="b">
        <f t="shared" si="8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9"/>
        <v>124000</v>
      </c>
      <c r="H12" s="30">
        <f t="shared" si="1"/>
        <v>7.8260869565217397E-2</v>
      </c>
      <c r="I12" s="4">
        <f t="shared" si="2"/>
        <v>124000</v>
      </c>
      <c r="J12" s="4" t="b">
        <f t="shared" si="3"/>
        <v>1</v>
      </c>
      <c r="K12" s="4" t="b">
        <f t="shared" si="4"/>
        <v>0</v>
      </c>
      <c r="L12" s="4" t="b">
        <f t="shared" si="5"/>
        <v>1</v>
      </c>
      <c r="M12" s="4" t="b">
        <f t="shared" si="6"/>
        <v>1</v>
      </c>
      <c r="N12" s="4">
        <f t="shared" si="7"/>
        <v>1</v>
      </c>
      <c r="O12" s="4" t="b">
        <f t="shared" si="8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Uzeyir Elivasli</cp:lastModifiedBy>
  <dcterms:created xsi:type="dcterms:W3CDTF">2024-07-16T20:11:02Z</dcterms:created>
  <dcterms:modified xsi:type="dcterms:W3CDTF">2026-07-01T18:51:50Z</dcterms:modified>
</cp:coreProperties>
</file>