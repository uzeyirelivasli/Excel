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Üzeyir\Downloads\"/>
    </mc:Choice>
  </mc:AlternateContent>
  <xr:revisionPtr revIDLastSave="0" documentId="13_ncr:1_{44C34E09-FFBB-4F11-A66D-56E08435CE1F}" xr6:coauthVersionLast="47" xr6:coauthVersionMax="47" xr10:uidLastSave="{00000000-0000-0000-0000-000000000000}"/>
  <bookViews>
    <workbookView xWindow="-108" yWindow="-108" windowWidth="23256" windowHeight="13176" xr2:uid="{8CC555B5-3E06-43B6-9E5B-C0A1D3498DA4}"/>
  </bookViews>
  <sheets>
    <sheet name="Data_2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0" l="1" a="1"/>
  <c r="J4" i="10" a="1"/>
  <c r="J2" i="10" a="1"/>
  <c r="J3" i="10" a="1"/>
  <c r="J5" i="10" a="1"/>
  <c r="J6" i="10" a="1"/>
  <c r="J7" i="10" a="1"/>
  <c r="J8" i="10" a="1"/>
  <c r="J9" i="10" a="1"/>
  <c r="J10" i="10" a="1"/>
  <c r="J11" i="10" a="1"/>
  <c r="J12" i="10" a="1"/>
  <c r="J13" i="10" a="1"/>
  <c r="J15" i="10" a="1"/>
  <c r="J16" i="10" a="1"/>
  <c r="J17" i="10" a="1"/>
  <c r="J18" i="10" a="1"/>
  <c r="J19" i="10" a="1"/>
  <c r="J20" i="10" a="1"/>
  <c r="J21" i="10" a="1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E2" i="10"/>
  <c r="E5" i="10"/>
  <c r="E3" i="10"/>
  <c r="E4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C3" i="10"/>
  <c r="C2" i="10"/>
  <c r="D3" i="10"/>
  <c r="C4" i="10"/>
  <c r="D4" i="10"/>
  <c r="C5" i="10"/>
  <c r="D5" i="10"/>
  <c r="C6" i="10"/>
  <c r="D6" i="10"/>
  <c r="C7" i="10"/>
  <c r="D7" i="10"/>
  <c r="C8" i="10"/>
  <c r="D8" i="10"/>
  <c r="C9" i="10"/>
  <c r="D9" i="10"/>
  <c r="C10" i="10"/>
  <c r="D10" i="10"/>
  <c r="C11" i="10"/>
  <c r="D11" i="10"/>
  <c r="C12" i="10"/>
  <c r="D12" i="10"/>
  <c r="C13" i="10"/>
  <c r="D13" i="10"/>
  <c r="C14" i="10"/>
  <c r="D14" i="10"/>
  <c r="C15" i="10"/>
  <c r="D15" i="10"/>
  <c r="C16" i="10"/>
  <c r="D16" i="10"/>
  <c r="C17" i="10"/>
  <c r="D17" i="10"/>
  <c r="C18" i="10"/>
  <c r="D18" i="10"/>
  <c r="C19" i="10"/>
  <c r="D19" i="10"/>
  <c r="C20" i="10"/>
  <c r="D20" i="10"/>
  <c r="C21" i="10"/>
  <c r="D21" i="10"/>
  <c r="D2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<sst xmlns="http://schemas.openxmlformats.org/spreadsheetml/2006/main" count="29" uniqueCount="13">
  <si>
    <t>Data Scientist</t>
  </si>
  <si>
    <t>Data Analyst</t>
  </si>
  <si>
    <t>Data Engineer</t>
  </si>
  <si>
    <t>job_title_short</t>
  </si>
  <si>
    <t>salary_year_avg</t>
  </si>
  <si>
    <t>Senior Data Engineer</t>
  </si>
  <si>
    <t>Senior Data Analyst</t>
  </si>
  <si>
    <t>Senior Data Scientist</t>
  </si>
  <si>
    <t>Business Analyst</t>
  </si>
  <si>
    <t>Both Roles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</si>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</sst>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M21"/>
  <sheetViews>
    <sheetView tabSelected="1" zoomScale="120" zoomScaleNormal="120" workbookViewId="0">
      <selection activeCell="J18" sqref="J18"/>
    </sheetView>
  </sheetViews>
  <sheetFormatPr defaultRowHeight="14.4" x14ac:dyDescent="0.3"/>
  <cols>
    <col min="1" max="1" width="16.88671875" bestFit="1" customWidth="1"/>
    <col min="2" max="2" width="13.88671875" bestFit="1" customWidth="1"/>
    <col min="3" max="3" width="11" customWidth="1"/>
    <col min="4" max="4" width="14.21875" customWidth="1"/>
    <col min="5" max="5" width="11" customWidth="1"/>
    <col min="6" max="6" width="6.5546875" customWidth="1"/>
    <col min="7" max="7" width="6" customWidth="1"/>
    <col min="8" max="8" width="10.33203125" bestFit="1" customWidth="1"/>
    <col min="9" max="9" width="9.88671875" bestFit="1" customWidth="1"/>
    <col min="10" max="10" width="24.88671875" customWidth="1"/>
  </cols>
  <sheetData>
    <row r="1" spans="1:10" x14ac:dyDescent="0.3">
      <c r="A1" s="2" t="s">
        <v>3</v>
      </c>
      <c r="B1" s="2" t="s">
        <v>4</v>
      </c>
      <c r="C1" s="3" t="s">
        <v>1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9</v>
      </c>
      <c r="I1" s="3">
        <v>85000</v>
      </c>
      <c r="J1" s="3" t="s">
        <v>12</v>
      </c>
    </row>
    <row r="2" spans="1:10" x14ac:dyDescent="0.3">
      <c r="A2" s="1" t="s">
        <v>5</v>
      </c>
      <c r="B2" s="1">
        <v>135000</v>
      </c>
      <c r="C2" t="str">
        <f>IF($A2=C$1,"Role desired","Not desired")</f>
        <v>Not desired</v>
      </c>
      <c r="D2" t="str">
        <f>IF($A2=D$1,"Role desired","Not desired")</f>
        <v>Not desired</v>
      </c>
      <c r="E2" t="str">
        <f>IF($A5=C$1,"Role desired",IF($A5=D$1,"Role desired","Not desired"))</f>
        <v>Not desired</v>
      </c>
      <c r="F2" t="b">
        <f>AND($A2=$C$1,$A2=$D$1)</f>
        <v>0</v>
      </c>
      <c r="G2" t="b">
        <f>OR($A2=$C$1,$A2=$D$1)</f>
        <v>0</v>
      </c>
      <c r="H2" t="str">
        <f>IF(OR($A2=$C$1,$A2=$D$1),"Role desired","Not desired")</f>
        <v>Not desired</v>
      </c>
      <c r="I2" t="str">
        <f>IF(B2&gt;$I$1, "Salary&gt;85k", "Salary low")</f>
        <v>Salary&gt;85k</v>
      </c>
      <c r="J2" t="str" cm="1">
        <f t="array" ref="J2">_xlfn.IFS($B2="", "No value", $B2&gt;=$I$1,"Salary&gt;85k", TRUE,"Salary low")</f>
        <v>Salary&gt;85k</v>
      </c>
    </row>
    <row r="3" spans="1:10" x14ac:dyDescent="0.3">
      <c r="A3" s="1" t="s">
        <v>1</v>
      </c>
      <c r="B3" s="1">
        <v>35000</v>
      </c>
      <c r="C3" t="str">
        <f t="shared" ref="C3:D21" si="0">IF($A3=C$1,"Role desired","Not desired")</f>
        <v>Role desired</v>
      </c>
      <c r="D3" t="str">
        <f t="shared" si="0"/>
        <v>Not desired</v>
      </c>
      <c r="E3" t="str">
        <f t="shared" ref="E3:E21" si="1">IF($A3=C$1,"Role desired",IF($A3=D$1,"Role desired","Not desired"))</f>
        <v>Role desired</v>
      </c>
      <c r="F3" t="b">
        <f>AND($A3=$C$1,$A3=$D$1)</f>
        <v>0</v>
      </c>
      <c r="G3" t="b">
        <f>OR($A3=$C$1,$A3=$D$1)</f>
        <v>1</v>
      </c>
      <c r="H3" t="str">
        <f>IF(OR($A3=$C$1,$A3=$D$1),"Role desired","Not desired")</f>
        <v>Role desired</v>
      </c>
      <c r="I3" t="str">
        <f>IF(B3&gt;$I$1, "Salary&gt;85k", "Salary low")</f>
        <v>Salary low</v>
      </c>
      <c r="J3" t="str" cm="1">
        <f t="array" ref="J3">_xlfn.IFS($B3="", "No value", $B3&gt;=$I$1,"Salary&gt;85k", TRUE,"Salary low")</f>
        <v>Salary low</v>
      </c>
    </row>
    <row r="4" spans="1:10" x14ac:dyDescent="0.3">
      <c r="A4" s="1" t="s">
        <v>1</v>
      </c>
      <c r="B4" s="1"/>
      <c r="C4" t="str">
        <f t="shared" si="0"/>
        <v>Role desired</v>
      </c>
      <c r="D4" t="str">
        <f t="shared" si="0"/>
        <v>Not desired</v>
      </c>
      <c r="E4" t="str">
        <f t="shared" si="1"/>
        <v>Role desired</v>
      </c>
      <c r="F4" t="b">
        <f>AND($A4=$C$1,$A4=$D$1)</f>
        <v>0</v>
      </c>
      <c r="G4" t="b">
        <f>OR($A4=$C$1,$A4=$D$1)</f>
        <v>1</v>
      </c>
      <c r="H4" t="str">
        <f>IF(OR($A4=$C$1,$A4=$D$1),"Role desired","Not desired")</f>
        <v>Role desired</v>
      </c>
      <c r="I4" t="str">
        <f>IF(B4&gt;$I$1, "Salary&gt;85k", "Salary low")</f>
        <v>Salary low</v>
      </c>
      <c r="J4" t="str" cm="1">
        <f t="array" ref="J4">_xlfn.IFS($B4="", "No value", $B4&gt;=$I$1,"Salary&gt;85k", TRUE,"Salary low")</f>
        <v>No value</v>
      </c>
    </row>
    <row r="5" spans="1:10" x14ac:dyDescent="0.3">
      <c r="A5" s="1" t="s">
        <v>0</v>
      </c>
      <c r="B5" s="1"/>
      <c r="C5" t="str">
        <f t="shared" si="0"/>
        <v>Not desired</v>
      </c>
      <c r="D5" t="str">
        <f t="shared" si="0"/>
        <v>Not desired</v>
      </c>
      <c r="E5" t="str">
        <f>IF($A5=C$1,"Role desired",IF($A5=D$1,"Role desired","Not desired"))</f>
        <v>Not desired</v>
      </c>
      <c r="F5" t="b">
        <f>AND($A5=$C$1,$A5=$D$1)</f>
        <v>0</v>
      </c>
      <c r="G5" t="b">
        <f>OR($A5=$C$1,$A5=$D$1)</f>
        <v>0</v>
      </c>
      <c r="H5" t="str">
        <f>IF(OR($A5=$C$1,$A5=$D$1),"Role desired","Not desired")</f>
        <v>Not desired</v>
      </c>
      <c r="I5" t="str">
        <f>IF(B5&gt;$I$1, "Salary&gt;85k", "Salary low")</f>
        <v>Salary low</v>
      </c>
      <c r="J5" t="str" cm="1">
        <f t="array" ref="J5">_xlfn.IFS($B5="", "No value", $B5&gt;=$I$1,"Salary&gt;85k", TRUE,"Salary low")</f>
        <v>No value</v>
      </c>
    </row>
    <row r="6" spans="1:10" x14ac:dyDescent="0.3">
      <c r="A6" s="1" t="s">
        <v>6</v>
      </c>
      <c r="B6" s="1"/>
      <c r="C6" t="str">
        <f t="shared" si="0"/>
        <v>Not desired</v>
      </c>
      <c r="D6" t="str">
        <f t="shared" si="0"/>
        <v>Not desired</v>
      </c>
      <c r="E6" t="str">
        <f t="shared" si="1"/>
        <v>Not desired</v>
      </c>
      <c r="F6" t="b">
        <f>AND($A6=$C$1,$A6=$D$1)</f>
        <v>0</v>
      </c>
      <c r="G6" t="b">
        <f>OR($A6=$C$1,$A6=$D$1)</f>
        <v>0</v>
      </c>
      <c r="H6" t="str">
        <f>IF(OR($A6=$C$1,$A6=$D$1),"Role desired","Not desired")</f>
        <v>Not desired</v>
      </c>
      <c r="I6" t="str">
        <f>IF(B6&gt;$I$1, "Salary&gt;85k", "Salary low")</f>
        <v>Salary low</v>
      </c>
      <c r="J6" t="str" cm="1">
        <f t="array" ref="J6">_xlfn.IFS($B6="", "No value", $B6&gt;=$I$1,"Salary&gt;85k", TRUE,"Salary low")</f>
        <v>No value</v>
      </c>
    </row>
    <row r="7" spans="1:10" x14ac:dyDescent="0.3">
      <c r="A7" s="1" t="s">
        <v>0</v>
      </c>
      <c r="B7" s="1"/>
      <c r="C7" t="str">
        <f t="shared" si="0"/>
        <v>Not desired</v>
      </c>
      <c r="D7" t="str">
        <f t="shared" si="0"/>
        <v>Not desired</v>
      </c>
      <c r="E7" t="str">
        <f t="shared" si="1"/>
        <v>Not desired</v>
      </c>
      <c r="F7" t="b">
        <f>AND($A7=$C$1,$A7=$D$1)</f>
        <v>0</v>
      </c>
      <c r="G7" t="b">
        <f>OR($A7=$C$1,$A7=$D$1)</f>
        <v>0</v>
      </c>
      <c r="H7" t="str">
        <f>IF(OR($A7=$C$1,$A7=$D$1),"Role desired","Not desired")</f>
        <v>Not desired</v>
      </c>
      <c r="I7" t="str">
        <f>IF(B7&gt;$I$1, "Salary&gt;85k", "Salary low")</f>
        <v>Salary low</v>
      </c>
      <c r="J7" t="str" cm="1">
        <f t="array" ref="J7">_xlfn.IFS($B7="", "No value", $B7&gt;=$I$1,"Salary&gt;85k", TRUE,"Salary low")</f>
        <v>No value</v>
      </c>
    </row>
    <row r="8" spans="1:10" x14ac:dyDescent="0.3">
      <c r="A8" s="1" t="s">
        <v>1</v>
      </c>
      <c r="B8" s="1"/>
      <c r="C8" t="str">
        <f t="shared" si="0"/>
        <v>Role desired</v>
      </c>
      <c r="D8" t="str">
        <f t="shared" si="0"/>
        <v>Not desired</v>
      </c>
      <c r="E8" t="str">
        <f t="shared" si="1"/>
        <v>Role desired</v>
      </c>
      <c r="F8" t="b">
        <f>AND($A8=$C$1,$A8=$D$1)</f>
        <v>0</v>
      </c>
      <c r="G8" t="b">
        <f>OR($A8=$C$1,$A8=$D$1)</f>
        <v>1</v>
      </c>
      <c r="H8" t="str">
        <f>IF(OR($A8=$C$1,$A8=$D$1),"Role desired","Not desired")</f>
        <v>Role desired</v>
      </c>
      <c r="I8" t="str">
        <f>IF(B8&gt;$I$1, "Salary&gt;85k", "Salary low")</f>
        <v>Salary low</v>
      </c>
      <c r="J8" t="str" cm="1">
        <f t="array" ref="J8">_xlfn.IFS($B8="", "No value", $B8&gt;=$I$1,"Salary&gt;85k", TRUE,"Salary low")</f>
        <v>No value</v>
      </c>
    </row>
    <row r="9" spans="1:10" x14ac:dyDescent="0.3">
      <c r="A9" s="1" t="s">
        <v>1</v>
      </c>
      <c r="B9" s="1">
        <v>115000</v>
      </c>
      <c r="C9" t="str">
        <f t="shared" si="0"/>
        <v>Role desired</v>
      </c>
      <c r="D9" t="str">
        <f t="shared" si="0"/>
        <v>Not desired</v>
      </c>
      <c r="E9" t="str">
        <f t="shared" si="1"/>
        <v>Role desired</v>
      </c>
      <c r="F9" t="b">
        <f>AND($A9=$C$1,$A9=$D$1)</f>
        <v>0</v>
      </c>
      <c r="G9" t="b">
        <f>OR($A9=$C$1,$A9=$D$1)</f>
        <v>1</v>
      </c>
      <c r="H9" t="str">
        <f>IF(OR($A9=$C$1,$A9=$D$1),"Role desired","Not desired")</f>
        <v>Role desired</v>
      </c>
      <c r="I9" t="str">
        <f>IF(B9&gt;$I$1, "Salary&gt;85k", "Salary low")</f>
        <v>Salary&gt;85k</v>
      </c>
      <c r="J9" t="str" cm="1">
        <f t="array" ref="J9">_xlfn.IFS($B9="", "No value", $B9&gt;=$I$1,"Salary&gt;85k", TRUE,"Salary low")</f>
        <v>Salary&gt;85k</v>
      </c>
    </row>
    <row r="10" spans="1:10" x14ac:dyDescent="0.3">
      <c r="A10" s="1" t="s">
        <v>1</v>
      </c>
      <c r="B10" s="1"/>
      <c r="C10" t="str">
        <f t="shared" si="0"/>
        <v>Role desired</v>
      </c>
      <c r="D10" t="str">
        <f t="shared" si="0"/>
        <v>Not desired</v>
      </c>
      <c r="E10" t="str">
        <f t="shared" si="1"/>
        <v>Role desired</v>
      </c>
      <c r="F10" t="b">
        <f>AND($A10=$C$1,$A10=$D$1)</f>
        <v>0</v>
      </c>
      <c r="G10" t="b">
        <f>OR($A10=$C$1,$A10=$D$1)</f>
        <v>1</v>
      </c>
      <c r="H10" t="str">
        <f>IF(OR($A10=$C$1,$A10=$D$1),"Role desired","Not desired")</f>
        <v>Role desired</v>
      </c>
      <c r="I10" t="str">
        <f>IF(B10&gt;$I$1, "Salary&gt;85k", "Salary low")</f>
        <v>Salary low</v>
      </c>
      <c r="J10" t="str" cm="1">
        <f t="array" ref="J10">_xlfn.IFS($B10="", "No value", $B10&gt;=$I$1,"Salary&gt;85k", TRUE,"Salary low")</f>
        <v>No value</v>
      </c>
    </row>
    <row r="11" spans="1:10" x14ac:dyDescent="0.3">
      <c r="A11" s="1" t="s">
        <v>1</v>
      </c>
      <c r="B11" s="1">
        <v>105000</v>
      </c>
      <c r="C11" t="str">
        <f t="shared" si="0"/>
        <v>Role desired</v>
      </c>
      <c r="D11" t="str">
        <f t="shared" si="0"/>
        <v>Not desired</v>
      </c>
      <c r="E11" t="str">
        <f t="shared" si="1"/>
        <v>Role desired</v>
      </c>
      <c r="F11" t="b">
        <f>AND($A11=$C$1,$A11=$D$1)</f>
        <v>0</v>
      </c>
      <c r="G11" t="b">
        <f>OR($A11=$C$1,$A11=$D$1)</f>
        <v>1</v>
      </c>
      <c r="H11" t="str">
        <f>IF(OR($A11=$C$1,$A11=$D$1),"Role desired","Not desired")</f>
        <v>Role desired</v>
      </c>
      <c r="I11" t="str">
        <f>IF(B11&gt;$I$1, "Salary&gt;85k", "Salary low")</f>
        <v>Salary&gt;85k</v>
      </c>
      <c r="J11" t="str" cm="1">
        <f t="array" ref="J11">_xlfn.IFS($B11="", "No value", $B11&gt;=$I$1,"Salary&gt;85k", TRUE,"Salary low")</f>
        <v>Salary&gt;85k</v>
      </c>
    </row>
    <row r="12" spans="1:10" x14ac:dyDescent="0.3">
      <c r="A12" s="1" t="s">
        <v>0</v>
      </c>
      <c r="B12" s="1">
        <v>195000</v>
      </c>
      <c r="C12" t="str">
        <f t="shared" si="0"/>
        <v>Not desired</v>
      </c>
      <c r="D12" t="str">
        <f t="shared" si="0"/>
        <v>Not desired</v>
      </c>
      <c r="E12" t="str">
        <f t="shared" si="1"/>
        <v>Not desired</v>
      </c>
      <c r="F12" t="b">
        <f>AND($A12=$C$1,$A12=$D$1)</f>
        <v>0</v>
      </c>
      <c r="G12" t="b">
        <f>OR($A12=$C$1,$A12=$D$1)</f>
        <v>0</v>
      </c>
      <c r="H12" t="str">
        <f>IF(OR($A12=$C$1,$A12=$D$1),"Role desired","Not desired")</f>
        <v>Not desired</v>
      </c>
      <c r="I12" t="str">
        <f>IF(B12&gt;$I$1, "Salary&gt;85k", "Salary low")</f>
        <v>Salary&gt;85k</v>
      </c>
      <c r="J12" t="str" cm="1">
        <f t="array" ref="J12">_xlfn.IFS($B12="", "No value", $B12&gt;=$I$1,"Salary&gt;85k", TRUE,"Salary low")</f>
        <v>Salary&gt;85k</v>
      </c>
    </row>
    <row r="13" spans="1:10" x14ac:dyDescent="0.3">
      <c r="A13" s="1" t="s">
        <v>7</v>
      </c>
      <c r="B13" s="1">
        <v>165000</v>
      </c>
      <c r="C13" t="str">
        <f t="shared" si="0"/>
        <v>Not desired</v>
      </c>
      <c r="D13" t="str">
        <f t="shared" si="0"/>
        <v>Not desired</v>
      </c>
      <c r="E13" t="str">
        <f t="shared" si="1"/>
        <v>Not desired</v>
      </c>
      <c r="F13" t="b">
        <f>AND($A13=$C$1,$A13=$D$1)</f>
        <v>0</v>
      </c>
      <c r="G13" t="b">
        <f>OR($A13=$C$1,$A13=$D$1)</f>
        <v>0</v>
      </c>
      <c r="H13" t="str">
        <f>IF(OR($A13=$C$1,$A13=$D$1),"Role desired","Not desired")</f>
        <v>Not desired</v>
      </c>
      <c r="I13" t="str">
        <f>IF(B13&gt;$I$1, "Salary&gt;85k", "Salary low")</f>
        <v>Salary&gt;85k</v>
      </c>
      <c r="J13" t="str" cm="1">
        <f t="array" ref="J13">_xlfn.IFS($B13="", "No value", $B13&gt;=$I$1,"Salary&gt;85k", TRUE,"Salary low")</f>
        <v>Salary&gt;85k</v>
      </c>
    </row>
    <row r="14" spans="1:10" x14ac:dyDescent="0.3">
      <c r="A14" s="1" t="s">
        <v>0</v>
      </c>
      <c r="B14" s="1">
        <v>281450.5</v>
      </c>
      <c r="C14" t="str">
        <f t="shared" si="0"/>
        <v>Not desired</v>
      </c>
      <c r="D14" t="str">
        <f t="shared" si="0"/>
        <v>Not desired</v>
      </c>
      <c r="E14" t="str">
        <f t="shared" si="1"/>
        <v>Not desired</v>
      </c>
      <c r="F14" t="b">
        <f>AND($A14=$C$1,$A14=$D$1)</f>
        <v>0</v>
      </c>
      <c r="G14" t="b">
        <f>OR($A14=$C$1,$A14=$D$1)</f>
        <v>0</v>
      </c>
      <c r="H14" t="str">
        <f>IF(OR($A14=$C$1,$A14=$D$1),"Role desired","Not desired")</f>
        <v>Not desired</v>
      </c>
      <c r="I14" t="str">
        <f>IF(B14&gt;$I$1, "Salary&gt;85k", "Salary low")</f>
        <v>Salary&gt;85k</v>
      </c>
      <c r="J14" t="str" cm="1">
        <f t="array" ref="J14">_xlfn.IFS($B14="", "No value", $B14&gt;=$I$1,"Salary&gt;85k", TRUE,"Salary low")</f>
        <v>Salary&gt;85k</v>
      </c>
    </row>
    <row r="15" spans="1:10" x14ac:dyDescent="0.3">
      <c r="A15" s="1" t="s">
        <v>0</v>
      </c>
      <c r="B15" s="1">
        <v>70000</v>
      </c>
      <c r="C15" t="str">
        <f t="shared" si="0"/>
        <v>Not desired</v>
      </c>
      <c r="D15" t="str">
        <f t="shared" si="0"/>
        <v>Not desired</v>
      </c>
      <c r="E15" t="str">
        <f t="shared" si="1"/>
        <v>Not desired</v>
      </c>
      <c r="F15" t="b">
        <f>AND($A15=$C$1,$A15=$D$1)</f>
        <v>0</v>
      </c>
      <c r="G15" t="b">
        <f>OR($A15=$C$1,$A15=$D$1)</f>
        <v>0</v>
      </c>
      <c r="H15" t="str">
        <f>IF(OR($A15=$C$1,$A15=$D$1),"Role desired","Not desired")</f>
        <v>Not desired</v>
      </c>
      <c r="I15" t="str">
        <f>IF(B15&gt;$I$1, "Salary&gt;85k", "Salary low")</f>
        <v>Salary low</v>
      </c>
      <c r="J15" t="str" cm="1">
        <f t="array" ref="J15">_xlfn.IFS($B15="", "No value", $B15&gt;=$I$1,"Salary&gt;85k", TRUE,"Salary low")</f>
        <v>Salary low</v>
      </c>
    </row>
    <row r="16" spans="1:10" x14ac:dyDescent="0.3">
      <c r="A16" s="1" t="s">
        <v>2</v>
      </c>
      <c r="B16" s="1">
        <v>98301.5</v>
      </c>
      <c r="C16" t="str">
        <f t="shared" si="0"/>
        <v>Not desired</v>
      </c>
      <c r="D16" t="str">
        <f t="shared" si="0"/>
        <v>Not desired</v>
      </c>
      <c r="E16" t="str">
        <f t="shared" si="1"/>
        <v>Not desired</v>
      </c>
      <c r="F16" t="b">
        <f>AND($A16=$C$1,$A16=$D$1)</f>
        <v>0</v>
      </c>
      <c r="G16" t="b">
        <f>OR($A16=$C$1,$A16=$D$1)</f>
        <v>0</v>
      </c>
      <c r="H16" t="str">
        <f>IF(OR($A16=$C$1,$A16=$D$1),"Role desired","Not desired")</f>
        <v>Not desired</v>
      </c>
      <c r="I16" t="str">
        <f>IF(B16&gt;$I$1, "Salary&gt;85k", "Salary low")</f>
        <v>Salary&gt;85k</v>
      </c>
      <c r="J16" t="str" cm="1">
        <f t="array" ref="J16">_xlfn.IFS($B16="", "No value", $B16&gt;=$I$1,"Salary&gt;85k", TRUE,"Salary low")</f>
        <v>Salary&gt;85k</v>
      </c>
    </row>
    <row r="17" spans="1:10" x14ac:dyDescent="0.3">
      <c r="A17" s="1" t="s">
        <v>2</v>
      </c>
      <c r="B17" s="1">
        <v>89100</v>
      </c>
      <c r="C17" t="str">
        <f t="shared" si="0"/>
        <v>Not desired</v>
      </c>
      <c r="D17" t="str">
        <f t="shared" si="0"/>
        <v>Not desired</v>
      </c>
      <c r="E17" t="str">
        <f t="shared" si="1"/>
        <v>Not desired</v>
      </c>
      <c r="F17" t="b">
        <f>AND($A17=$C$1,$A17=$D$1)</f>
        <v>0</v>
      </c>
      <c r="G17" t="b">
        <f>OR($A17=$C$1,$A17=$D$1)</f>
        <v>0</v>
      </c>
      <c r="H17" t="str">
        <f>IF(OR($A17=$C$1,$A17=$D$1),"Role desired","Not desired")</f>
        <v>Not desired</v>
      </c>
      <c r="I17" t="str">
        <f>IF(B17&gt;$I$1, "Salary&gt;85k", "Salary low")</f>
        <v>Salary&gt;85k</v>
      </c>
      <c r="J17" t="str" cm="1">
        <f t="array" ref="J17">_xlfn.IFS($B17="", "No value", $B17&gt;=$I$1,"Salary&gt;85k", TRUE,"Salary low")</f>
        <v>Salary&gt;85k</v>
      </c>
    </row>
    <row r="18" spans="1:10" x14ac:dyDescent="0.3">
      <c r="A18" s="1" t="s">
        <v>8</v>
      </c>
      <c r="B18" s="1"/>
      <c r="C18" t="str">
        <f t="shared" si="0"/>
        <v>Not desired</v>
      </c>
      <c r="D18" t="str">
        <f t="shared" si="0"/>
        <v>Role desired</v>
      </c>
      <c r="E18" t="str">
        <f t="shared" si="1"/>
        <v>Role desired</v>
      </c>
      <c r="F18" t="b">
        <f>AND($A18=$C$1,$A18=$D$1)</f>
        <v>0</v>
      </c>
      <c r="G18" t="b">
        <f>OR($A18=$C$1,$A18=$D$1)</f>
        <v>1</v>
      </c>
      <c r="H18" t="str">
        <f>IF(OR($A18=$C$1,$A18=$D$1),"Role desired","Not desired")</f>
        <v>Role desired</v>
      </c>
      <c r="I18" t="str">
        <f>IF(B18&gt;$I$1, "Salary&gt;85k", "Salary low")</f>
        <v>Salary low</v>
      </c>
      <c r="J18" t="str" cm="1">
        <f t="array" ref="J18">_xlfn.IFS($B18="", "No value", $B18&gt;=$I$1,"Salary&gt;85k", TRUE,"Salary low")</f>
        <v>No value</v>
      </c>
    </row>
    <row r="19" spans="1:10" x14ac:dyDescent="0.3">
      <c r="A19" s="1" t="s">
        <v>0</v>
      </c>
      <c r="B19" s="1">
        <v>87500</v>
      </c>
      <c r="C19" t="str">
        <f t="shared" si="0"/>
        <v>Not desired</v>
      </c>
      <c r="D19" t="str">
        <f t="shared" si="0"/>
        <v>Not desired</v>
      </c>
      <c r="E19" t="str">
        <f t="shared" si="1"/>
        <v>Not desired</v>
      </c>
      <c r="F19" t="b">
        <f>AND($A19=$C$1,$A19=$D$1)</f>
        <v>0</v>
      </c>
      <c r="G19" t="b">
        <f>OR($A19=$C$1,$A19=$D$1)</f>
        <v>0</v>
      </c>
      <c r="H19" t="str">
        <f>IF(OR($A19=$C$1,$A19=$D$1),"Role desired","Not desired")</f>
        <v>Not desired</v>
      </c>
      <c r="I19" t="str">
        <f>IF(B19&gt;$I$1, "Salary&gt;85k", "Salary low")</f>
        <v>Salary&gt;85k</v>
      </c>
      <c r="J19" t="str" cm="1">
        <f t="array" ref="J19">_xlfn.IFS($B19="", "No value", $B19&gt;=$I$1,"Salary&gt;85k", TRUE,"Salary low")</f>
        <v>Salary&gt;85k</v>
      </c>
    </row>
    <row r="20" spans="1:10" x14ac:dyDescent="0.3">
      <c r="A20" s="1" t="s">
        <v>0</v>
      </c>
      <c r="B20" s="1"/>
      <c r="C20" t="str">
        <f t="shared" si="0"/>
        <v>Not desired</v>
      </c>
      <c r="D20" t="str">
        <f t="shared" si="0"/>
        <v>Not desired</v>
      </c>
      <c r="E20" t="str">
        <f t="shared" si="1"/>
        <v>Not desired</v>
      </c>
      <c r="F20" t="b">
        <f>AND($A20=$C$1,$A20=$D$1)</f>
        <v>0</v>
      </c>
      <c r="G20" t="b">
        <f>OR($A20=$C$1,$A20=$D$1)</f>
        <v>0</v>
      </c>
      <c r="H20" t="str">
        <f>IF(OR($A20=$C$1,$A20=$D$1),"Role desired","Not desired")</f>
        <v>Not desired</v>
      </c>
      <c r="I20" t="str">
        <f>IF(B20&gt;$I$1, "Salary&gt;85k", "Salary low")</f>
        <v>Salary low</v>
      </c>
      <c r="J20" t="str" cm="1">
        <f t="array" ref="J20">_xlfn.IFS($B20="", "No value", $B20&gt;=$I$1,"Salary&gt;85k", TRUE,"Salary low")</f>
        <v>No value</v>
      </c>
    </row>
    <row r="21" spans="1:10" x14ac:dyDescent="0.3">
      <c r="A21" s="1" t="s">
        <v>8</v>
      </c>
      <c r="B21" s="1">
        <v>90000</v>
      </c>
      <c r="C21" t="str">
        <f t="shared" si="0"/>
        <v>Not desired</v>
      </c>
      <c r="D21" t="str">
        <f t="shared" si="0"/>
        <v>Role desired</v>
      </c>
      <c r="E21" t="str">
        <f t="shared" si="1"/>
        <v>Role desired</v>
      </c>
      <c r="F21" t="b">
        <f>AND($A21=$C$1,$A21=$D$1)</f>
        <v>0</v>
      </c>
      <c r="G21" t="b">
        <f>OR($A21=$C$1,$A21=$D$1)</f>
        <v>1</v>
      </c>
      <c r="H21" t="str">
        <f>IF(OR($A21=$C$1,$A21=$D$1),"Role desired","Not desired")</f>
        <v>Role desired</v>
      </c>
      <c r="I21" t="str">
        <f>IF(B21&gt;$I$1, "Salary&gt;85k", "Salary low")</f>
        <v>Salary&gt;85k</v>
      </c>
      <c r="J21" t="str" cm="1">
        <f t="array" ref="J21">_xlfn.IFS($B21="", "No value", $B21&gt;=$I$1,"Salary&gt;85k", TRUE,"Salary low")</f>
        <v>Salary&gt;85k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Uzeyir Elivasli</cp:lastModifiedBy>
  <dcterms:created xsi:type="dcterms:W3CDTF">2024-07-16T20:11:02Z</dcterms:created>
  <dcterms:modified xsi:type="dcterms:W3CDTF">2026-07-01T21:29:47Z</dcterms:modified>
</cp:coreProperties>
</file>